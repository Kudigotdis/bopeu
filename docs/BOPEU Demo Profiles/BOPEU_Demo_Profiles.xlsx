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 Here" sheetId="1" state="visible" r:id="rId1"/>
    <sheet xmlns:r="http://schemas.openxmlformats.org/officeDocument/2006/relationships" name="Member - Males" sheetId="2" state="visible" r:id="rId2"/>
    <sheet xmlns:r="http://schemas.openxmlformats.org/officeDocument/2006/relationships" name="Member - Females" sheetId="3" state="visible" r:id="rId3"/>
    <sheet xmlns:r="http://schemas.openxmlformats.org/officeDocument/2006/relationships" name="Member Benefits" sheetId="4" state="visible" r:id="rId4"/>
    <sheet xmlns:r="http://schemas.openxmlformats.org/officeDocument/2006/relationships" name="BOPEU Staff" sheetId="5" state="visible" r:id="rId5"/>
    <sheet xmlns:r="http://schemas.openxmlformats.org/officeDocument/2006/relationships" name="Benefit Partners" sheetId="6" state="visible" r:id="rId6"/>
    <sheet xmlns:r="http://schemas.openxmlformats.org/officeDocument/2006/relationships" name="Benefit Directory" sheetId="7" state="visible" r:id="rId7"/>
    <sheet xmlns:r="http://schemas.openxmlformats.org/officeDocument/2006/relationships" name="Demo Activity" sheetId="8" state="visible" r:id="rId8"/>
    <sheet xmlns:r="http://schemas.openxmlformats.org/officeDocument/2006/relationships" name="Field Guide" sheetId="9" state="visible" r:id="rId9"/>
    <sheet xmlns:r="http://schemas.openxmlformats.org/officeDocument/2006/relationships" name="Access Matrix" sheetId="10" state="visible" r:id="rId10"/>
  </sheets>
  <definedNames/>
</workbook>
</file>

<file path=xl/styles.xml><?xml version="1.0" encoding="utf-8"?>
<styleSheet xmlns="http://schemas.openxmlformats.org/spreadsheetml/2006/main">
  <numFmts count="1">
    <numFmt numFmtId="164" formatCode="&quot;P&quot;#,##0.00"/>
  </numFmts>
  <fonts count="11">
    <font>
      <name val="Carlito"/>
      <sz val="11"/>
    </font>
    <font>
      <name val="Carlito"/>
      <b val="1"/>
      <color rgb="FFFFFFFF"/>
      <sz val="17"/>
    </font>
    <font>
      <name val="Carlito"/>
      <i val="1"/>
      <color rgb="FF8E1220"/>
      <sz val="10"/>
    </font>
    <font>
      <name val="Carlito"/>
      <b val="1"/>
      <color rgb="FFFFFFFF"/>
      <sz val="11"/>
    </font>
    <font>
      <name val="Carlito"/>
      <color rgb="FF1A1A1A"/>
      <sz val="11"/>
    </font>
    <font>
      <name val="Carlito"/>
      <color rgb="FF1A1A1A"/>
      <sz val="10"/>
    </font>
    <font>
      <name val="Carlito"/>
      <b val="1"/>
      <color rgb="FF1A1A1A"/>
      <sz val="11"/>
    </font>
    <font>
      <name val="Carlito"/>
      <color rgb="FF6B7280"/>
      <sz val="10"/>
    </font>
    <font>
      <name val="Carlito"/>
      <b val="1"/>
      <color rgb="FFFFFFFF"/>
      <sz val="16"/>
    </font>
    <font>
      <name val="Carlito"/>
      <b val="1"/>
      <color rgb="FFFFFFFF"/>
      <sz val="10"/>
    </font>
    <font>
      <name val="Carlito"/>
      <color rgb="FF1A1A1A"/>
      <sz val="9"/>
    </font>
  </fonts>
  <fills count="7">
    <fill>
      <patternFill/>
    </fill>
    <fill>
      <patternFill patternType="gray125"/>
    </fill>
    <fill>
      <patternFill patternType="solid">
        <fgColor rgb="FFC8102E"/>
      </patternFill>
    </fill>
    <fill>
      <patternFill patternType="solid">
        <fgColor rgb="FFFDEDEE"/>
      </patternFill>
    </fill>
    <fill>
      <patternFill patternType="solid">
        <fgColor rgb="FF8E1220"/>
      </patternFill>
    </fill>
    <fill>
      <patternFill patternType="solid">
        <fgColor rgb="FFF3F4F6"/>
      </patternFill>
    </fill>
    <fill>
      <patternFill patternType="solid">
        <fgColor rgb="FFFAFAFA"/>
      </patternFill>
    </fill>
  </fills>
  <borders count="6">
    <border/>
    <border/>
    <border>
      <bottom/>
    </border>
    <border>
      <bottom/>
    </border>
    <border>
      <bottom/>
    </border>
    <border>
      <bottom/>
    </border>
  </borders>
  <cellStyleXfs count="1">
    <xf numFmtId="0" fontId="0" fillId="0" borderId="1"/>
  </cellStyleXfs>
  <cellXfs count="9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2" borderId="1" pivotButton="0" quotePrefix="0" xfId="0"/>
    <xf numFmtId="0" fontId="1" fillId="2" borderId="1" pivotButton="0" quotePrefix="0" xfId="0"/>
    <xf numFmtId="0" fontId="1" fillId="2" borderId="1"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0" fillId="4" borderId="0" pivotButton="0" quotePrefix="0" xfId="0"/>
    <xf numFmtId="0" fontId="3" fillId="4" borderId="0" pivotButton="0" quotePrefix="0" xfId="0"/>
    <xf numFmtId="0" fontId="0" fillId="4" borderId="1" pivotButton="0" quotePrefix="0" xfId="0"/>
    <xf numFmtId="0" fontId="3" fillId="4" borderId="1" pivotButton="0" quotePrefix="0" xfId="0"/>
    <xf numFmtId="0" fontId="4" fillId="0" borderId="0" pivotButton="0" quotePrefix="0" xfId="0"/>
    <xf numFmtId="0" fontId="4" fillId="0" borderId="2" pivotButton="0" quotePrefix="0" xfId="0"/>
    <xf numFmtId="0" fontId="4" fillId="0" borderId="1" pivotButton="0" quotePrefix="0" xfId="0"/>
    <xf numFmtId="0" fontId="4" fillId="0" borderId="3" pivotButton="0" quotePrefix="0" xfId="0"/>
    <xf numFmtId="0" fontId="5" fillId="0" borderId="0" pivotButton="0" quotePrefix="0" xfId="0"/>
    <xf numFmtId="0" fontId="5" fillId="0" borderId="2" pivotButton="0" quotePrefix="0" xfId="0"/>
    <xf numFmtId="0" fontId="5" fillId="0" borderId="0" applyAlignment="1" pivotButton="0" quotePrefix="0" xfId="0">
      <alignment wrapText="1"/>
    </xf>
    <xf numFmtId="0" fontId="5" fillId="0" borderId="2" applyAlignment="1" pivotButton="0" quotePrefix="0" xfId="0">
      <alignment wrapText="1"/>
    </xf>
    <xf numFmtId="0" fontId="5" fillId="0" borderId="0" applyAlignment="1" pivotButton="0" quotePrefix="0" xfId="0">
      <alignment vertical="center" wrapText="1"/>
    </xf>
    <xf numFmtId="0" fontId="5" fillId="0" borderId="2" applyAlignment="1" pivotButton="0" quotePrefix="0" xfId="0">
      <alignment vertical="center" wrapText="1"/>
    </xf>
    <xf numFmtId="0" fontId="5" fillId="0" borderId="1" pivotButton="0" quotePrefix="0" xfId="0"/>
    <xf numFmtId="0" fontId="5" fillId="0" borderId="3" pivotButton="0" quotePrefix="0" xfId="0"/>
    <xf numFmtId="0" fontId="5" fillId="0" borderId="1" applyAlignment="1" pivotButton="0" quotePrefix="0" xfId="0">
      <alignment wrapText="1"/>
    </xf>
    <xf numFmtId="0" fontId="5" fillId="0" borderId="3" applyAlignment="1" pivotButton="0" quotePrefix="0" xfId="0">
      <alignment wrapText="1"/>
    </xf>
    <xf numFmtId="0" fontId="5" fillId="0" borderId="1" applyAlignment="1" pivotButton="0" quotePrefix="0" xfId="0">
      <alignment vertical="center" wrapText="1"/>
    </xf>
    <xf numFmtId="0" fontId="5" fillId="0" borderId="3" applyAlignment="1" pivotButton="0" quotePrefix="0" xfId="0">
      <alignment vertical="center" wrapText="1"/>
    </xf>
    <xf numFmtId="0" fontId="0" fillId="5" borderId="0" pivotButton="0" quotePrefix="0" xfId="0"/>
    <xf numFmtId="0" fontId="6" fillId="5" borderId="0" pivotButton="0" quotePrefix="0" xfId="0"/>
    <xf numFmtId="0" fontId="6" fillId="5" borderId="0" applyAlignment="1" pivotButton="0" quotePrefix="0" xfId="0">
      <alignment wrapText="1"/>
    </xf>
    <xf numFmtId="0" fontId="0" fillId="5" borderId="1" pivotButton="0" quotePrefix="0" xfId="0"/>
    <xf numFmtId="0" fontId="6" fillId="5" borderId="1" pivotButton="0" quotePrefix="0" xfId="0"/>
    <xf numFmtId="0" fontId="6" fillId="5" borderId="1" applyAlignment="1" pivotButton="0" quotePrefix="0" xfId="0">
      <alignment wrapText="1"/>
    </xf>
    <xf numFmtId="0" fontId="0" fillId="6" borderId="0" pivotButton="0" quotePrefix="0" xfId="0"/>
    <xf numFmtId="0" fontId="7" fillId="6" borderId="0" pivotButton="0" quotePrefix="0" xfId="0"/>
    <xf numFmtId="0" fontId="7" fillId="6" borderId="0" applyAlignment="1" pivotButton="0" quotePrefix="0" xfId="0">
      <alignment wrapText="1"/>
    </xf>
    <xf numFmtId="0" fontId="7" fillId="6" borderId="0" applyAlignment="1" pivotButton="0" quotePrefix="0" xfId="0">
      <alignment vertical="center" wrapText="1"/>
    </xf>
    <xf numFmtId="0" fontId="0" fillId="6" borderId="1" pivotButton="0" quotePrefix="0" xfId="0"/>
    <xf numFmtId="0" fontId="7" fillId="6" borderId="1" pivotButton="0" quotePrefix="0" xfId="0"/>
    <xf numFmtId="0" fontId="7" fillId="6" borderId="1" applyAlignment="1" pivotButton="0" quotePrefix="0" xfId="0">
      <alignment wrapText="1"/>
    </xf>
    <xf numFmtId="0" fontId="7" fillId="6" borderId="1" applyAlignment="1" pivotButton="0" quotePrefix="0" xfId="0">
      <alignment vertical="center" wrapText="1"/>
    </xf>
    <xf numFmtId="0" fontId="8" fillId="2" borderId="0" pivotButton="0" quotePrefix="0" xfId="0"/>
    <xf numFmtId="0" fontId="8" fillId="2" borderId="0" applyAlignment="1" pivotButton="0" quotePrefix="0" xfId="0">
      <alignment vertical="center"/>
    </xf>
    <xf numFmtId="0" fontId="8" fillId="2" borderId="1" pivotButton="0" quotePrefix="0" xfId="0"/>
    <xf numFmtId="0" fontId="8" fillId="2" borderId="1" applyAlignment="1" pivotButton="0" quotePrefix="0" xfId="0">
      <alignment vertical="center"/>
    </xf>
    <xf numFmtId="0" fontId="2" fillId="3" borderId="0" applyAlignment="1" pivotButton="0" quotePrefix="0" xfId="0">
      <alignment vertical="center" wrapText="1"/>
    </xf>
    <xf numFmtId="0" fontId="0" fillId="0" borderId="0" pivotButton="0" quotePrefix="0" xfId="0"/>
    <xf numFmtId="0" fontId="2" fillId="3" borderId="1" applyAlignment="1" pivotButton="0" quotePrefix="0" xfId="0">
      <alignment vertical="center" wrapText="1"/>
    </xf>
    <xf numFmtId="0" fontId="0" fillId="0" borderId="1" pivotButton="0" quotePrefix="0" xfId="0"/>
    <xf numFmtId="0" fontId="9" fillId="4" borderId="0" pivotButton="0" quotePrefix="0" xfId="0"/>
    <xf numFmtId="0" fontId="9" fillId="4" borderId="4" pivotButton="0" quotePrefix="0" xfId="0"/>
    <xf numFmtId="0" fontId="9" fillId="4" borderId="4" applyAlignment="1" pivotButton="0" quotePrefix="0" xfId="0">
      <alignment wrapText="1"/>
    </xf>
    <xf numFmtId="0" fontId="9" fillId="4" borderId="4" applyAlignment="1" pivotButton="0" quotePrefix="0" xfId="0">
      <alignment horizontal="center" wrapText="1"/>
    </xf>
    <xf numFmtId="0" fontId="9" fillId="4" borderId="4" applyAlignment="1" pivotButton="0" quotePrefix="0" xfId="0">
      <alignment horizontal="center" vertical="center" wrapText="1"/>
    </xf>
    <xf numFmtId="0" fontId="9" fillId="4" borderId="1" pivotButton="0" quotePrefix="0" xfId="0"/>
    <xf numFmtId="0" fontId="9" fillId="4" borderId="5" pivotButton="0" quotePrefix="0" xfId="0"/>
    <xf numFmtId="0" fontId="9" fillId="4" borderId="5" applyAlignment="1" pivotButton="0" quotePrefix="0" xfId="0">
      <alignment wrapText="1"/>
    </xf>
    <xf numFmtId="0" fontId="9" fillId="4" borderId="5" applyAlignment="1" pivotButton="0" quotePrefix="0" xfId="0">
      <alignment horizontal="center" wrapText="1"/>
    </xf>
    <xf numFmtId="0" fontId="9" fillId="4" borderId="5" applyAlignment="1" pivotButton="0" quotePrefix="0" xfId="0">
      <alignment horizontal="center" vertical="center" wrapText="1"/>
    </xf>
    <xf numFmtId="0" fontId="0" fillId="0" borderId="0" applyAlignment="1" pivotButton="0" quotePrefix="0" xfId="0">
      <alignment wrapText="1"/>
    </xf>
    <xf numFmtId="0" fontId="0" fillId="0"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1" applyAlignment="1" pivotButton="0" quotePrefix="0" xfId="0">
      <alignment vertical="top" wrapText="1"/>
    </xf>
    <xf numFmtId="0" fontId="10" fillId="0" borderId="0" applyAlignment="1" pivotButton="0" quotePrefix="0" xfId="0">
      <alignment vertical="top" wrapText="1"/>
    </xf>
    <xf numFmtId="0" fontId="10" fillId="0" borderId="0" applyAlignment="1" pivotButton="0" quotePrefix="0" xfId="0">
      <alignment vertical="top" wrapText="1"/>
    </xf>
    <xf numFmtId="0" fontId="10" fillId="0" borderId="1" applyAlignment="1" pivotButton="0" quotePrefix="0" xfId="0">
      <alignment vertical="top" wrapText="1"/>
    </xf>
    <xf numFmtId="0" fontId="10" fillId="0" borderId="1" applyAlignment="1" pivotButton="0" quotePrefix="0" xfId="0">
      <alignment vertical="top" wrapText="1"/>
    </xf>
    <xf numFmtId="0" fontId="10" fillId="0" borderId="2" applyAlignment="1" pivotButton="0" quotePrefix="0" xfId="0">
      <alignment vertical="top" wrapText="1"/>
    </xf>
    <xf numFmtId="0" fontId="10" fillId="0" borderId="2" applyAlignment="1" pivotButton="0" quotePrefix="0" xfId="0">
      <alignment vertical="top" wrapText="1"/>
    </xf>
    <xf numFmtId="0" fontId="10" fillId="0" borderId="3" applyAlignment="1" pivotButton="0" quotePrefix="0" xfId="0">
      <alignment vertical="top" wrapText="1"/>
    </xf>
    <xf numFmtId="0" fontId="10" fillId="0" borderId="3" applyAlignment="1" pivotButton="0" quotePrefix="0" xfId="0">
      <alignment vertical="top" wrapText="1"/>
    </xf>
    <xf numFmtId="0" fontId="8" fillId="2" borderId="0" applyAlignment="1" pivotButton="0" quotePrefix="0" xfId="0">
      <alignment vertical="center" wrapText="1"/>
    </xf>
    <xf numFmtId="0" fontId="8" fillId="2" borderId="1" applyAlignment="1" pivotButton="0" quotePrefix="0" xfId="0">
      <alignment vertical="center" wrapText="1"/>
    </xf>
    <xf numFmtId="164" fontId="10" fillId="0" borderId="0" applyAlignment="1" pivotButton="0" quotePrefix="0" xfId="0">
      <alignment vertical="top" wrapText="1"/>
    </xf>
    <xf numFmtId="164" fontId="10" fillId="0" borderId="2" applyAlignment="1" pivotButton="0" quotePrefix="0" xfId="0">
      <alignment vertical="top" wrapText="1"/>
    </xf>
    <xf numFmtId="164" fontId="0" fillId="0" borderId="0" pivotButton="0" quotePrefix="0" xfId="0"/>
    <xf numFmtId="164" fontId="10" fillId="0" borderId="1" applyAlignment="1" pivotButton="0" quotePrefix="0" xfId="0">
      <alignment vertical="top" wrapText="1"/>
    </xf>
    <xf numFmtId="164" fontId="10" fillId="0" borderId="3" applyAlignment="1" pivotButton="0" quotePrefix="0" xfId="0">
      <alignment vertical="top" wrapText="1"/>
    </xf>
    <xf numFmtId="164" fontId="0" fillId="0" borderId="1" pivotButton="0" quotePrefix="0" xfId="0"/>
    <xf numFmtId="0" fontId="0" fillId="0" borderId="0" applyAlignment="1" pivotButton="0" quotePrefix="0" xfId="0">
      <alignment vertical="center"/>
    </xf>
    <xf numFmtId="0" fontId="0" fillId="0" borderId="1" applyAlignment="1" pivotButton="0" quotePrefix="0" xfId="0">
      <alignment vertical="center"/>
    </xf>
    <xf numFmtId="0" fontId="5" fillId="0" borderId="5" applyAlignment="1" pivotButton="0" quotePrefix="0" xfId="0">
      <alignment vertical="center" wrapText="1"/>
    </xf>
    <xf numFmtId="164" fontId="10" fillId="0" borderId="0" applyAlignment="1" pivotButton="0" quotePrefix="0" xfId="0">
      <alignment vertical="top" wrapText="1"/>
    </xf>
    <xf numFmtId="164" fontId="10" fillId="0" borderId="2" applyAlignment="1" pivotButton="0" quotePrefix="0" xfId="0">
      <alignment vertical="top" wrapText="1"/>
    </xf>
    <xf numFmtId="164"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MaleMembersTable" displayName="MaleMembersTable" ref="A3:AZ6" headerRowCount="1" totalsRowCount="0" totalsRowShown="0">
  <tableColumns count="52">
    <tableColumn id="1" name="Demo Record ID"/>
    <tableColumn id="2" name="Group"/>
    <tableColumn id="3" name="Display Name"/>
    <tableColumn id="4" name="Fictional Full Name"/>
    <tableColumn id="5" name="Age"/>
    <tableColumn id="6" name="DOB"/>
    <tableColumn id="7" name="Gender"/>
    <tableColumn id="8" name="Employment Status"/>
    <tableColumn id="9" name="Membership No. (DEMO)"/>
    <tableColumn id="10" name="Membership Status"/>
    <tableColumn id="11" name="Member Since"/>
    <tableColumn id="12" name="Digital Card Token (DEMO)"/>
    <tableColumn id="13" name="Omang Ref (DEMO)"/>
    <tableColumn id="14" name="Employer / Organisation"/>
    <tableColumn id="15" name="Government Parent / Ministry"/>
    <tableColumn id="16" name="Physical Workplace"/>
    <tableColumn id="17" name="Work City"/>
    <tableColumn id="18" name="Work Region"/>
    <tableColumn id="19" name="Position"/>
    <tableColumn id="20" name="Grade (illustrative only)"/>
    <tableColumn id="21" name="Years of Service"/>
    <tableColumn id="22" name="Residence City / Area / Plot (demo)"/>
    <tableColumn id="23" name="Primary Network"/>
    <tableColumn id="24" name="Primary Mobile (masked)"/>
    <tableColumn id="25" name="WhatsApp Number (masked)"/>
    <tableColumn id="26" name="WhatsApp Linked"/>
    <tableColumn id="27" name="Secondary Network"/>
    <tableColumn id="28" name="Secondary Mobile (masked)"/>
    <tableColumn id="29" name="Mobile Wallet Provider"/>
    <tableColumn id="30" name="Wallet Ref (DEMO)"/>
    <tableColumn id="31" name="Bank Account Ref (DEMO)"/>
    <tableColumn id="32" name="Social Handles (demo)"/>
    <tableColumn id="33" name="Medical Aid Provider"/>
    <tableColumn id="34" name="Medical Aid Scheme Ref (DEMO)"/>
    <tableColumn id="35" name="Basic Salary (BWP demo)"/>
    <tableColumn id="36" name="Expected Subscription (formula BWP)"/>
    <tableColumn id="37" name="Group Life Fee (BWP demo)"/>
    <tableColumn id="38" name="Funeral/Admin Fee (BWP demo)"/>
    <tableColumn id="39" name="Estimated Demo Deduction Total (formula BWP)"/>
    <tableColumn id="40" name="Payroll Check-off Status"/>
    <tableColumn id="41" name="SACCOS ID (DEMO)"/>
    <tableColumn id="42" name="SACCOS Savings (BWP demo)"/>
    <tableColumn id="43" name="Active Loan Status"/>
    <tableColumn id="44" name="Loan Balance (BWP demo)"/>
    <tableColumn id="45" name="Funeral Dependents (synthetic)"/>
    <tableColumn id="46" name="Extended Family Cover (synthetic)"/>
    <tableColumn id="47" name="Shop Steward Status"/>
    <tableColumn id="48" name="Grievance References (demo)"/>
    <tableColumn id="49" name="Selected Benefits (summary)"/>
    <tableColumn id="50" name="Last App Login (demo)"/>
    <tableColumn id="51" name="Profile Completion"/>
    <tableColumn id="52" name="Profile Story / Demo Talking Point"/>
  </tableColumns>
  <tableStyleInfo name="TableStyleMedium2" showFirstColumn="0" showLastColumn="0" showRowStripes="1" showColumnStripes="0"/>
</table>
</file>

<file path=xl/tables/table2.xml><?xml version="1.0" encoding="utf-8"?>
<table xmlns="http://schemas.openxmlformats.org/spreadsheetml/2006/main" id="2" name="FemaleMembersTable" displayName="FemaleMembersTable" ref="A3:AZ6" headerRowCount="1" totalsRowCount="0" totalsRowShown="0">
  <tableColumns count="52">
    <tableColumn id="1" name="Demo Record ID"/>
    <tableColumn id="2" name="Group"/>
    <tableColumn id="3" name="Display Name"/>
    <tableColumn id="4" name="Fictional Full Name"/>
    <tableColumn id="5" name="Age"/>
    <tableColumn id="6" name="DOB"/>
    <tableColumn id="7" name="Gender"/>
    <tableColumn id="8" name="Employment Status"/>
    <tableColumn id="9" name="Membership No. (DEMO)"/>
    <tableColumn id="10" name="Membership Status"/>
    <tableColumn id="11" name="Member Since"/>
    <tableColumn id="12" name="Digital Card Token (DEMO)"/>
    <tableColumn id="13" name="Omang Ref (DEMO)"/>
    <tableColumn id="14" name="Employer / Organisation"/>
    <tableColumn id="15" name="Government Parent / Ministry"/>
    <tableColumn id="16" name="Physical Workplace"/>
    <tableColumn id="17" name="Work City"/>
    <tableColumn id="18" name="Work Region"/>
    <tableColumn id="19" name="Position"/>
    <tableColumn id="20" name="Grade (illustrative only)"/>
    <tableColumn id="21" name="Years of Service"/>
    <tableColumn id="22" name="Residence City / Area / Plot (demo)"/>
    <tableColumn id="23" name="Primary Network"/>
    <tableColumn id="24" name="Primary Mobile (masked)"/>
    <tableColumn id="25" name="WhatsApp Number (masked)"/>
    <tableColumn id="26" name="WhatsApp Linked"/>
    <tableColumn id="27" name="Secondary Network"/>
    <tableColumn id="28" name="Secondary Mobile (masked)"/>
    <tableColumn id="29" name="Mobile Wallet Provider"/>
    <tableColumn id="30" name="Wallet Ref (DEMO)"/>
    <tableColumn id="31" name="Bank Account Ref (DEMO)"/>
    <tableColumn id="32" name="Social Handles (demo)"/>
    <tableColumn id="33" name="Medical Aid Provider"/>
    <tableColumn id="34" name="Medical Aid Scheme Ref (DEMO)"/>
    <tableColumn id="35" name="Basic Salary (BWP demo)"/>
    <tableColumn id="36" name="Expected Subscription (formula BWP)"/>
    <tableColumn id="37" name="Group Life Fee (BWP demo)"/>
    <tableColumn id="38" name="Funeral/Admin Fee (BWP demo)"/>
    <tableColumn id="39" name="Estimated Demo Deduction Total (formula BWP)"/>
    <tableColumn id="40" name="Payroll Check-off Status"/>
    <tableColumn id="41" name="SACCOS ID (DEMO)"/>
    <tableColumn id="42" name="SACCOS Savings (BWP demo)"/>
    <tableColumn id="43" name="Active Loan Status"/>
    <tableColumn id="44" name="Loan Balance (BWP demo)"/>
    <tableColumn id="45" name="Funeral Dependents (synthetic)"/>
    <tableColumn id="46" name="Extended Family Cover (synthetic)"/>
    <tableColumn id="47" name="Shop Steward Status"/>
    <tableColumn id="48" name="Grievance References (demo)"/>
    <tableColumn id="49" name="Selected Benefits (summary)"/>
    <tableColumn id="50" name="Last App Login (demo)"/>
    <tableColumn id="51" name="Profile Completion"/>
    <tableColumn id="52" name="Profile Story / Demo Talking Point"/>
  </tableColumns>
  <tableStyleInfo name="TableStyleMedium2" showFirstColumn="0" showLastColumn="0" showRowStripes="1" showColumnStripes="0"/>
</table>
</file>

<file path=xl/tables/table3.xml><?xml version="1.0" encoding="utf-8"?>
<table xmlns="http://schemas.openxmlformats.org/spreadsheetml/2006/main" id="3" name="MemberBenefitsTable" displayName="MemberBenefitsTable" ref="A3:M35" headerRowCount="1" totalsRowCount="0" totalsRowShown="0">
  <tableColumns count="13">
    <tableColumn id="1" name="Benefit ID"/>
    <tableColumn id="2" name="Member Record ID"/>
    <tableColumn id="3" name="Member Display Name"/>
    <tableColumn id="4" name="Member Group"/>
    <tableColumn id="5" name="Category"/>
    <tableColumn id="6" name="Partner / Provider"/>
    <tableColumn id="7" name="Selected Benefit"/>
    <tableColumn id="8" name="Status"/>
    <tableColumn id="9" name="Demo Reference"/>
    <tableColumn id="10" name="Demo Amount / Balance (BWP)"/>
    <tableColumn id="11" name="Next Step / Owner"/>
    <tableColumn id="12" name="Details and Terms Note"/>
    <tableColumn id="13" name="Privacy / Verification Note"/>
  </tableColumns>
  <tableStyleInfo name="TableStyleMedium2" showFirstColumn="0" showLastColumn="0" showRowStripes="1" showColumnStripes="0"/>
</table>
</file>

<file path=xl/tables/table4.xml><?xml version="1.0" encoding="utf-8"?>
<table xmlns="http://schemas.openxmlformats.org/spreadsheetml/2006/main" id="4" name="BOPEUStaffTable" displayName="BOPEUStaffTable" ref="A3:AB10" headerRowCount="1" totalsRowCount="0" totalsRowShown="0">
  <tableColumns count="28">
    <tableColumn id="1" name="Record ID"/>
    <tableColumn id="2" name="Display Name"/>
    <tableColumn id="3" name="Fictional Full Name"/>
    <tableColumn id="4" name="Age"/>
    <tableColumn id="5" name="DOB"/>
    <tableColumn id="6" name="Staff ID (DEMO)"/>
    <tableColumn id="7" name="System Role"/>
    <tableColumn id="8" name="Job Title"/>
    <tableColumn id="9" name="Department"/>
    <tableColumn id="10" name="Cost Centre"/>
    <tableColumn id="11" name="Status"/>
    <tableColumn id="12" name="Office Location"/>
    <tableColumn id="13" name="Assigned Regions"/>
    <tableColumn id="14" name="Corporate Email (.invalid)"/>
    <tableColumn id="15" name="Omang Ref (DEMO)"/>
    <tableColumn id="16" name="Mobile Provider"/>
    <tableColumn id="17" name="Mobile (masked)"/>
    <tableColumn id="18" name="WhatsApp (masked)"/>
    <tableColumn id="19" name="Residence (synthetic)"/>
    <tableColumn id="20" name="Reports To / Approver"/>
    <tableColumn id="21" name="Sign-in method"/>
    <tableColumn id="22" name="Device Binding (demo)"/>
    <tableColumn id="23" name="Permissions"/>
    <tableColumn id="24" name="Data Scope / Restrictions"/>
    <tableColumn id="25" name="Dashboard Metrics (demo)"/>
    <tableColumn id="26" name="Current Task"/>
    <tableColumn id="27" name="Last Audit Event (demo)"/>
    <tableColumn id="28" name="Profile Story"/>
  </tableColumns>
  <tableStyleInfo name="TableStyleMedium2" showFirstColumn="0" showLastColumn="0" showRowStripes="1" showColumnStripes="0"/>
</table>
</file>

<file path=xl/tables/table5.xml><?xml version="1.0" encoding="utf-8"?>
<table xmlns="http://schemas.openxmlformats.org/spreadsheetml/2006/main" id="5" name="BenefitPartnerUsersTable" displayName="BenefitPartnerUsersTable" ref="A3:U9" headerRowCount="1" totalsRowCount="0" totalsRowShown="0">
  <tableColumns count="21">
    <tableColumn id="1" name="Record ID"/>
    <tableColumn id="2" name="Organization"/>
    <tableColumn id="3" name="Display Name"/>
    <tableColumn id="4" name="Fictional Full Name"/>
    <tableColumn id="5" name="Age"/>
    <tableColumn id="6" name="Partner Role"/>
    <tableColumn id="7" name="Job Title"/>
    <tableColumn id="8" name="Employee ID (DEMO)"/>
    <tableColumn id="9" name="Organization ID (DEMO)"/>
    <tableColumn id="10" name="Branch / Location"/>
    <tableColumn id="11" name="Corporate Email (.invalid)"/>
    <tableColumn id="12" name="Omang Ref (DEMO)"/>
    <tableColumn id="13" name="System Role"/>
    <tableColumn id="14" name="Account Status"/>
    <tableColumn id="15" name="Sign-in method"/>
    <tableColumn id="16" name="Permissions"/>
    <tableColumn id="17" name="Data Scope / Restrictions"/>
    <tableColumn id="18" name="Offer Cards (demo)"/>
    <tableColumn id="19" name="Dashboard Metrics (demo)"/>
    <tableColumn id="20" name="Last Audit Event (demo)"/>
    <tableColumn id="21" name="Profile Story"/>
  </tableColumns>
  <tableStyleInfo name="TableStyleMedium2" showFirstColumn="0" showLastColumn="0" showRowStripes="1" showColumnStripes="0"/>
</table>
</file>

<file path=xl/tables/table6.xml><?xml version="1.0" encoding="utf-8"?>
<table xmlns="http://schemas.openxmlformats.org/spreadsheetml/2006/main" id="6" name="BenefitDirectoryTable" displayName="BenefitDirectoryTable" ref="A3:J12" headerRowCount="1" totalsRowCount="0" totalsRowShown="0">
  <tableColumns count="10">
    <tableColumn id="1" name="Partner"/>
    <tableColumn id="2" name="Category"/>
    <tableColumn id="3" name="Benefit Type"/>
    <tableColumn id="4" name="Headline"/>
    <tableColumn id="5" name="Reference Status"/>
    <tableColumn id="6" name="Member-Facing Summary"/>
    <tableColumn id="7" name="Eligibility"/>
    <tableColumn id="8" name="Terms / Publication Note"/>
    <tableColumn id="9" name="Last Reference Check"/>
    <tableColumn id="10" name="Source URL"/>
  </tableColumns>
  <tableStyleInfo name="TableStyleMedium2" showFirstColumn="0" showLastColumn="0" showRowStripes="1" showColumnStripes="0"/>
</table>
</file>

<file path=xl/tables/table7.xml><?xml version="1.0" encoding="utf-8"?>
<table xmlns="http://schemas.openxmlformats.org/spreadsheetml/2006/main" id="7" name="DemoActivityTable" displayName="DemoActivityTable" ref="A3:I21" headerRowCount="1" totalsRowCount="0" totalsRowShown="0">
  <tableColumns count="9">
    <tableColumn id="1" name="Activity ID"/>
    <tableColumn id="2" name="Record Type"/>
    <tableColumn id="3" name="Reference ID (DEMO)"/>
    <tableColumn id="4" name="Title"/>
    <tableColumn id="5" name="Owner / Record ID"/>
    <tableColumn id="6" name="Audience / Scope"/>
    <tableColumn id="7" name="Status"/>
    <tableColumn id="8" name="Date"/>
    <tableColumn id="9" name="Description / Demo Note"/>
  </tableColumns>
  <tableStyleInfo name="TableStyleMedium2" showFirstColumn="0" showLastColumn="0" showRowStripes="1" showColumnStripes="0"/>
</table>
</file>

<file path=xl/tables/table8.xml><?xml version="1.0" encoding="utf-8"?>
<table xmlns="http://schemas.openxmlformats.org/spreadsheetml/2006/main" id="8" name="FieldGuideTable" displayName="FieldGuideTable" ref="A3:D20" headerRowCount="1" totalsRowCount="0" totalsRowShown="0">
  <tableColumns count="4">
    <tableColumn id="1" name="Field / Topic"/>
    <tableColumn id="2" name="Purpose"/>
    <tableColumn id="3" name="Demo display rule"/>
    <tableColumn id="4" name="Production / governance note"/>
  </tableColumns>
  <tableStyleInfo name="TableStyleMedium2" showFirstColumn="0" showLastColumn="0" showRowStripes="1" showColumnStripes="0"/>
</table>
</file>

<file path=xl/tables/table9.xml><?xml version="1.0" encoding="utf-8"?>
<table xmlns="http://schemas.openxmlformats.org/spreadsheetml/2006/main" id="9" name="RoleAccessMatrixTable" displayName="RoleAccessMatrixTable" ref="A3:F13" headerRowCount="1" totalsRowCount="0" totalsRowShown="0">
  <tableColumns count="6">
    <tableColumn id="1" name="Role / Group"/>
    <tableColumn id="2" name="View Scope"/>
    <tableColumn id="3" name="Create / Edit"/>
    <tableColumn id="4" name="Approve / Publish"/>
    <tableColumn id="5" name="Explicitly Denied by Default"/>
    <tableColumn id="6" name="Audit / Approval Contro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H15"/>
  <sheetViews>
    <sheetView workbookViewId="0">
      <pane ySplit="2" topLeftCell="A3" activePane="bottomLeft" state="frozen"/>
      <selection activeCell="A1" sqref="A1"/>
    </sheetView>
  </sheetViews>
  <sheetFormatPr baseColWidth="8" defaultRowHeight="15"/>
  <cols>
    <col width="30" customWidth="1" style="53" min="1" max="1"/>
    <col width="18" customWidth="1" style="53" min="2" max="2"/>
  </cols>
  <sheetData>
    <row r="1" ht="34" customHeight="1" s="53">
      <c r="A1" s="7" t="inlineStr">
        <is>
          <t>BOPEU DEMO PROFILES — CLIENT SHOWCASE PACK</t>
        </is>
      </c>
      <c r="B1" s="55" t="n"/>
      <c r="C1" s="55" t="n"/>
      <c r="D1" s="55" t="n"/>
      <c r="E1" s="55" t="n"/>
      <c r="F1" s="55" t="n"/>
      <c r="G1" s="55" t="n"/>
      <c r="H1" s="55" t="n"/>
    </row>
    <row r="2" ht="30" customHeight="1" s="53">
      <c r="A2" s="13" t="inlineStr">
        <is>
          <t>Version 1.0 · 25 October 2026 · Fictional demo records only — not a real member, payroll, claim or partner database.</t>
        </is>
      </c>
      <c r="B2" s="55" t="n"/>
      <c r="C2" s="55" t="n"/>
      <c r="D2" s="55" t="n"/>
      <c r="E2" s="55" t="n"/>
      <c r="F2" s="55" t="n"/>
      <c r="G2" s="55" t="n"/>
      <c r="H2" s="55" t="n"/>
    </row>
    <row r="4" ht="24" customHeight="1" s="53">
      <c r="A4" s="15" t="inlineStr">
        <is>
          <t>Dataset group</t>
        </is>
      </c>
      <c r="B4" s="15" t="inlineStr">
        <is>
          <t>Records</t>
        </is>
      </c>
      <c r="D4" s="17" t="inlineStr">
        <is>
          <t>Rules for using this pack</t>
        </is>
      </c>
      <c r="E4" s="55" t="n"/>
      <c r="F4" s="55" t="n"/>
      <c r="G4" s="55" t="n"/>
      <c r="H4" s="55" t="n"/>
    </row>
    <row r="5" ht="42" customHeight="1" s="53">
      <c r="A5" s="18" t="inlineStr">
        <is>
          <t>Male BOPEU members</t>
        </is>
      </c>
      <c r="B5" s="18" t="n">
        <v>3</v>
      </c>
      <c r="D5" s="32" t="inlineStr">
        <is>
          <t>1. All profiles and associated records are fictional. The six member display names were supplied in the brief; their middle names and all associated profile data are synthetic.</t>
        </is>
      </c>
      <c r="E5" s="55" t="n"/>
      <c r="F5" s="55" t="n"/>
      <c r="G5" s="55" t="n"/>
      <c r="H5" s="55" t="n"/>
    </row>
    <row r="6" ht="42" customHeight="1" s="53">
      <c r="A6" s="18" t="inlineStr">
        <is>
          <t>Female BOPEU members</t>
        </is>
      </c>
      <c r="B6" s="18" t="n">
        <v>3</v>
      </c>
      <c r="D6" s="32" t="inlineStr">
        <is>
          <t>2. Omang values are non-numeric placeholders; phone numbers are X-masked and not routable; emails use .invalid; account, token, SACCOS and medical scheme references are fake.</t>
        </is>
      </c>
      <c r="E6" s="55" t="n"/>
      <c r="F6" s="55" t="n"/>
      <c r="G6" s="55" t="n"/>
      <c r="H6" s="55" t="n"/>
    </row>
    <row r="7" ht="42" customHeight="1" s="53">
      <c r="A7" s="18" t="inlineStr">
        <is>
          <t>BOPEU staff roles</t>
        </is>
      </c>
      <c r="B7" s="18" t="n">
        <v>7</v>
      </c>
      <c r="D7" s="32" t="inlineStr">
        <is>
          <t>3. No passwords, raw API keys, SIM serials or valid authentication credentials are provided.</t>
        </is>
      </c>
      <c r="E7" s="55" t="n"/>
      <c r="F7" s="55" t="n"/>
      <c r="G7" s="55" t="n"/>
      <c r="H7" s="55" t="n"/>
    </row>
    <row r="8" ht="42" customHeight="1" s="53">
      <c r="A8" s="18" t="inlineStr">
        <is>
          <t>Benefit-partner users</t>
        </is>
      </c>
      <c r="B8" s="18" t="n">
        <v>6</v>
      </c>
      <c r="D8" s="32" t="inlineStr">
        <is>
          <t>4. Salary, grade labels, subscription amounts, loan balances, savings, premium examples, activity metrics and claims are synthetic UI data, not actual payroll or approved offers.</t>
        </is>
      </c>
      <c r="E8" s="55" t="n"/>
      <c r="F8" s="55" t="n"/>
      <c r="G8" s="55" t="n"/>
      <c r="H8" s="55" t="n"/>
    </row>
    <row r="9" ht="42" customHeight="1" s="53">
      <c r="A9" s="19" t="inlineStr">
        <is>
          <t>Demo activity rows</t>
        </is>
      </c>
      <c r="B9" s="19" t="n">
        <v>18</v>
      </c>
      <c r="D9" s="32" t="inlineStr">
        <is>
          <t>5. Subscription formula uses MIN(P100, MAX(P39.90, 1% × synthetic basic salary)). Verify the production payroll rule and the P70/P20/P39.50 deduction labels with BOPEU before publishing.</t>
        </is>
      </c>
      <c r="E9" s="55" t="n"/>
      <c r="F9" s="55" t="n"/>
      <c r="G9" s="55" t="n"/>
      <c r="H9" s="55" t="n"/>
    </row>
    <row r="10" ht="42" customHeight="1" s="53">
      <c r="D10" s="32" t="inlineStr">
        <is>
          <t>6. Reference-confirmed benefit summaries are separated from terms that need written partner confirmation. Do not invent current Orange/Mascom prices or hotel/dental/wellness discounts.</t>
        </is>
      </c>
      <c r="E10" s="55" t="n"/>
      <c r="F10" s="55" t="n"/>
      <c r="G10" s="55" t="n"/>
      <c r="H10" s="55" t="n"/>
    </row>
    <row r="11" ht="42" customHeight="1" s="53">
      <c r="D11" s="92" t="inlineStr">
        <is>
          <t>7. Keep prototype data separate from production. Apply least-privilege access, audit logging, encryption, consent and retention rules to real data.</t>
        </is>
      </c>
      <c r="E11" s="55" t="n"/>
      <c r="F11" s="55" t="n"/>
      <c r="G11" s="55" t="n"/>
      <c r="H11" s="55" t="n"/>
    </row>
    <row r="12" ht="32" customHeight="1" s="53">
      <c r="A12" s="39" t="inlineStr">
        <is>
          <t>Workbook tabs: Start Here · Member - Males · Member - Females · Member Benefits · BOPEU Staff · Benefit Partners · Benefit Directory · Demo Activity · Field Guide</t>
        </is>
      </c>
      <c r="B12" s="55" t="n"/>
      <c r="C12" s="55" t="n"/>
      <c r="D12" s="55" t="n"/>
      <c r="E12" s="55" t="n"/>
      <c r="F12" s="55" t="n"/>
      <c r="G12" s="55" t="n"/>
      <c r="H12" s="55" t="n"/>
    </row>
    <row r="14">
      <c r="A14" s="47" t="inlineStr">
        <is>
          <t>Product note: The requirements brief calls the formal product BOPEU Member Services Portal and describes “Mmereki” as a proposed name pending approval. Ministry/employer labels follow current public-sector wording where available, but exact job titles, workplace assignments and all personal records are fictional.</t>
        </is>
      </c>
      <c r="B14" s="55" t="n"/>
      <c r="C14" s="55" t="n"/>
      <c r="D14" s="55" t="n"/>
      <c r="E14" s="55" t="n"/>
      <c r="F14" s="55" t="n"/>
      <c r="G14" s="55" t="n"/>
      <c r="H14" s="55" t="n"/>
    </row>
    <row r="15">
      <c r="A15" s="55" t="n"/>
      <c r="B15" s="55" t="n"/>
      <c r="C15" s="55" t="n"/>
      <c r="D15" s="55" t="n"/>
      <c r="E15" s="55" t="n"/>
      <c r="F15" s="55" t="n"/>
      <c r="G15" s="55" t="n"/>
      <c r="H15" s="55" t="n"/>
    </row>
  </sheetData>
  <mergeCells count="12">
    <mergeCell ref="A12:H12"/>
    <mergeCell ref="A1:H1"/>
    <mergeCell ref="D7:H7"/>
    <mergeCell ref="D8:H8"/>
    <mergeCell ref="D6:H6"/>
    <mergeCell ref="D10:H10"/>
    <mergeCell ref="A2:H2"/>
    <mergeCell ref="D11:H11"/>
    <mergeCell ref="D5:H5"/>
    <mergeCell ref="A14:H15"/>
    <mergeCell ref="D4:H4"/>
    <mergeCell ref="D9:H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Z10"/>
  <sheetViews>
    <sheetView workbookViewId="0">
      <pane ySplit="3" topLeftCell="A4" activePane="bottomLeft" state="frozen"/>
      <selection activeCell="A1" sqref="A1"/>
    </sheetView>
  </sheetViews>
  <sheetFormatPr baseColWidth="8" defaultRowHeight="15"/>
  <cols>
    <col width="18" customWidth="1" style="53" min="1" max="1"/>
    <col width="18" customWidth="1" style="53" min="2" max="2"/>
    <col width="30" customWidth="1" style="53" min="3" max="3"/>
    <col width="30" customWidth="1" style="53" min="4" max="4"/>
    <col width="18" customWidth="1" style="53" min="5" max="5"/>
    <col width="18" customWidth="1" style="53" min="6" max="6"/>
    <col width="18" customWidth="1" style="53" min="7" max="7"/>
    <col width="18" customWidth="1" style="53" min="8" max="8"/>
    <col width="18" customWidth="1" style="53" min="9" max="9"/>
    <col width="18" customWidth="1" style="53" min="10" max="10"/>
    <col width="18" customWidth="1" style="53" min="11" max="11"/>
    <col width="32" customWidth="1" style="53" min="12" max="12"/>
    <col width="32" customWidth="1" style="53" min="13" max="13"/>
    <col width="30" customWidth="1" style="53" min="14" max="14"/>
    <col width="30" customWidth="1" style="53" min="15" max="15"/>
    <col width="30" customWidth="1" style="53" min="16" max="16"/>
    <col width="18" customWidth="1" style="53" min="17" max="17"/>
    <col width="18" customWidth="1" style="53" min="18" max="18"/>
    <col width="30" customWidth="1" style="53" min="19" max="19"/>
    <col width="18" customWidth="1" style="53" min="20" max="20"/>
    <col width="18" customWidth="1" style="53" min="21" max="21"/>
    <col width="30" customWidth="1" style="53" min="22" max="22"/>
    <col width="18" customWidth="1" style="53" min="23" max="23"/>
    <col width="18" customWidth="1" style="53" min="24" max="24"/>
    <col width="18" customWidth="1" style="53" min="25" max="25"/>
    <col width="18" customWidth="1" style="53" min="26" max="26"/>
    <col width="18" customWidth="1" style="53" min="27" max="27"/>
    <col width="18" customWidth="1" style="53" min="28" max="28"/>
    <col width="18" customWidth="1" style="53" min="29" max="29"/>
    <col width="18" customWidth="1" style="53" min="30" max="30"/>
    <col width="18" customWidth="1" style="53" min="31" max="31"/>
    <col width="32" customWidth="1" style="53" min="32" max="32"/>
    <col width="18" customWidth="1" style="53" min="33" max="33"/>
    <col width="18" customWidth="1" style="53" min="34" max="34"/>
    <col width="16" customWidth="1" style="53" min="35" max="35"/>
    <col width="16" customWidth="1" style="53" min="36" max="36"/>
    <col width="16" customWidth="1" style="53" min="37" max="37"/>
    <col width="16" customWidth="1" style="53" min="38" max="38"/>
    <col width="16" customWidth="1" style="53" min="39" max="39"/>
    <col width="18" customWidth="1" style="53" min="40" max="40"/>
    <col width="18" customWidth="1" style="53" min="41" max="41"/>
    <col width="16" customWidth="1" style="53" min="42" max="42"/>
    <col width="18" customWidth="1" style="53" min="43" max="43"/>
    <col width="16" customWidth="1" style="53" min="44" max="44"/>
    <col width="32" customWidth="1" style="53" min="45" max="45"/>
    <col width="32" customWidth="1" style="53" min="46" max="46"/>
    <col width="18" customWidth="1" style="53" min="47" max="47"/>
    <col width="32" customWidth="1" style="53" min="48" max="48"/>
    <col width="32" customWidth="1" style="53" min="49" max="49"/>
    <col width="18" customWidth="1" style="53" min="50" max="50"/>
    <col width="18" customWidth="1" style="53" min="51" max="51"/>
    <col width="42" customWidth="1" style="53" min="52" max="52"/>
  </cols>
  <sheetData>
    <row r="1" ht="30" customHeight="1" s="53">
      <c r="A1" s="83" t="inlineStr">
        <is>
          <t>BOPEU MEMBER PROFILES — MALE GROUP</t>
        </is>
      </c>
      <c r="B1" s="55" t="n"/>
      <c r="C1" s="55" t="n"/>
      <c r="D1" s="55" t="n"/>
      <c r="E1" s="55" t="n"/>
      <c r="F1" s="55" t="n"/>
      <c r="G1" s="55" t="n"/>
      <c r="H1" s="55" t="n"/>
      <c r="I1" s="55" t="n"/>
      <c r="J1" s="55" t="n"/>
      <c r="K1" s="55" t="n"/>
      <c r="L1" s="55" t="n"/>
      <c r="M1" s="55" t="n"/>
      <c r="N1" s="55" t="n"/>
      <c r="O1" s="55" t="n"/>
      <c r="P1" s="55" t="n"/>
      <c r="Q1" s="55" t="n"/>
      <c r="R1" s="55" t="n"/>
      <c r="S1" s="55" t="n"/>
      <c r="T1" s="55" t="n"/>
      <c r="U1" s="55" t="n"/>
      <c r="V1" s="55" t="n"/>
      <c r="W1" s="55" t="n"/>
      <c r="X1" s="55" t="n"/>
      <c r="Y1" s="55" t="n"/>
      <c r="Z1" s="55" t="n"/>
      <c r="AA1" s="55" t="n"/>
      <c r="AB1" s="55" t="n"/>
      <c r="AC1" s="55" t="n"/>
      <c r="AD1" s="55" t="n"/>
      <c r="AE1" s="55" t="n"/>
      <c r="AF1" s="55" t="n"/>
      <c r="AG1" s="55" t="n"/>
      <c r="AH1" s="55" t="n"/>
      <c r="AI1" s="55" t="n"/>
      <c r="AJ1" s="55" t="n"/>
      <c r="AK1" s="55" t="n"/>
      <c r="AL1" s="55" t="n"/>
      <c r="AM1" s="55" t="n"/>
      <c r="AN1" s="55" t="n"/>
      <c r="AO1" s="55" t="n"/>
      <c r="AP1" s="55" t="n"/>
      <c r="AQ1" s="55" t="n"/>
      <c r="AR1" s="55" t="n"/>
      <c r="AS1" s="55" t="n"/>
      <c r="AT1" s="55" t="n"/>
      <c r="AU1" s="55" t="n"/>
      <c r="AV1" s="55" t="n"/>
      <c r="AW1" s="55" t="n"/>
      <c r="AX1" s="55" t="n"/>
      <c r="AY1" s="55" t="n"/>
      <c r="AZ1" s="55" t="n"/>
    </row>
    <row r="2" ht="34" customHeight="1" s="53">
      <c r="A2" s="54" t="inlineStr">
        <is>
          <t>Fictional demo identities and all associated values are synthetic. Masked contact refs are not routable; salary/deductions are not real payroll data.</t>
        </is>
      </c>
      <c r="B2" s="55" t="n"/>
      <c r="C2" s="55" t="n"/>
      <c r="D2" s="55" t="n"/>
      <c r="E2" s="55" t="n"/>
      <c r="F2" s="55" t="n"/>
      <c r="G2" s="55" t="n"/>
      <c r="H2" s="55" t="n"/>
      <c r="I2" s="55" t="n"/>
      <c r="J2" s="55" t="n"/>
      <c r="K2" s="55" t="n"/>
      <c r="L2" s="55" t="n"/>
      <c r="M2" s="55" t="n"/>
      <c r="N2" s="55" t="n"/>
      <c r="O2" s="55" t="n"/>
      <c r="P2" s="55" t="n"/>
      <c r="Q2" s="55" t="n"/>
      <c r="R2" s="55" t="n"/>
      <c r="S2" s="55" t="n"/>
      <c r="T2" s="55" t="n"/>
      <c r="U2" s="55" t="n"/>
      <c r="V2" s="55" t="n"/>
      <c r="W2" s="55" t="n"/>
      <c r="X2" s="55" t="n"/>
      <c r="Y2" s="55" t="n"/>
      <c r="Z2" s="55" t="n"/>
      <c r="AA2" s="55" t="n"/>
      <c r="AB2" s="55" t="n"/>
      <c r="AC2" s="55" t="n"/>
      <c r="AD2" s="55" t="n"/>
      <c r="AE2" s="55" t="n"/>
      <c r="AF2" s="55" t="n"/>
      <c r="AG2" s="55" t="n"/>
      <c r="AH2" s="55" t="n"/>
      <c r="AI2" s="55" t="n"/>
      <c r="AJ2" s="55" t="n"/>
      <c r="AK2" s="55" t="n"/>
      <c r="AL2" s="55" t="n"/>
      <c r="AM2" s="55" t="n"/>
      <c r="AN2" s="55" t="n"/>
      <c r="AO2" s="55" t="n"/>
      <c r="AP2" s="55" t="n"/>
      <c r="AQ2" s="55" t="n"/>
      <c r="AR2" s="55" t="n"/>
      <c r="AS2" s="55" t="n"/>
      <c r="AT2" s="55" t="n"/>
      <c r="AU2" s="55" t="n"/>
      <c r="AV2" s="55" t="n"/>
      <c r="AW2" s="55" t="n"/>
      <c r="AX2" s="55" t="n"/>
      <c r="AY2" s="55" t="n"/>
      <c r="AZ2" s="55" t="n"/>
    </row>
    <row r="3" ht="42" customHeight="1" s="53">
      <c r="A3" s="60" t="inlineStr">
        <is>
          <t>Demo Record ID</t>
        </is>
      </c>
      <c r="B3" s="60" t="inlineStr">
        <is>
          <t>Group</t>
        </is>
      </c>
      <c r="C3" s="60" t="inlineStr">
        <is>
          <t>Display Name</t>
        </is>
      </c>
      <c r="D3" s="60" t="inlineStr">
        <is>
          <t>Fictional Full Name</t>
        </is>
      </c>
      <c r="E3" s="60" t="inlineStr">
        <is>
          <t>Age</t>
        </is>
      </c>
      <c r="F3" s="60" t="inlineStr">
        <is>
          <t>DOB</t>
        </is>
      </c>
      <c r="G3" s="60" t="inlineStr">
        <is>
          <t>Gender</t>
        </is>
      </c>
      <c r="H3" s="60" t="inlineStr">
        <is>
          <t>Employment Status</t>
        </is>
      </c>
      <c r="I3" s="60" t="inlineStr">
        <is>
          <t>Membership No. (DEMO)</t>
        </is>
      </c>
      <c r="J3" s="60" t="inlineStr">
        <is>
          <t>Membership Status</t>
        </is>
      </c>
      <c r="K3" s="60" t="inlineStr">
        <is>
          <t>Member Since</t>
        </is>
      </c>
      <c r="L3" s="60" t="inlineStr">
        <is>
          <t>Digital Card Token (DEMO)</t>
        </is>
      </c>
      <c r="M3" s="60" t="inlineStr">
        <is>
          <t>Omang Ref (DEMO)</t>
        </is>
      </c>
      <c r="N3" s="60" t="inlineStr">
        <is>
          <t>Employer / Organisation</t>
        </is>
      </c>
      <c r="O3" s="60" t="inlineStr">
        <is>
          <t>Government Parent / Ministry</t>
        </is>
      </c>
      <c r="P3" s="60" t="inlineStr">
        <is>
          <t>Physical Workplace</t>
        </is>
      </c>
      <c r="Q3" s="60" t="inlineStr">
        <is>
          <t>Work City</t>
        </is>
      </c>
      <c r="R3" s="60" t="inlineStr">
        <is>
          <t>Work Region</t>
        </is>
      </c>
      <c r="S3" s="60" t="inlineStr">
        <is>
          <t>Position</t>
        </is>
      </c>
      <c r="T3" s="60" t="inlineStr">
        <is>
          <t>Grade (illustrative only)</t>
        </is>
      </c>
      <c r="U3" s="60" t="inlineStr">
        <is>
          <t>Years of Service</t>
        </is>
      </c>
      <c r="V3" s="60" t="inlineStr">
        <is>
          <t>Residence City / Area / Plot (demo)</t>
        </is>
      </c>
      <c r="W3" s="60" t="inlineStr">
        <is>
          <t>Primary Network</t>
        </is>
      </c>
      <c r="X3" s="60" t="inlineStr">
        <is>
          <t>Primary Mobile (masked)</t>
        </is>
      </c>
      <c r="Y3" s="60" t="inlineStr">
        <is>
          <t>WhatsApp Number (masked)</t>
        </is>
      </c>
      <c r="Z3" s="60" t="inlineStr">
        <is>
          <t>WhatsApp Linked</t>
        </is>
      </c>
      <c r="AA3" s="60" t="inlineStr">
        <is>
          <t>Secondary Network</t>
        </is>
      </c>
      <c r="AB3" s="60" t="inlineStr">
        <is>
          <t>Secondary Mobile (masked)</t>
        </is>
      </c>
      <c r="AC3" s="60" t="inlineStr">
        <is>
          <t>Mobile Wallet Provider</t>
        </is>
      </c>
      <c r="AD3" s="60" t="inlineStr">
        <is>
          <t>Wallet Ref (DEMO)</t>
        </is>
      </c>
      <c r="AE3" s="60" t="inlineStr">
        <is>
          <t>Bank Account Ref (DEMO)</t>
        </is>
      </c>
      <c r="AF3" s="60" t="inlineStr">
        <is>
          <t>Social Handles (demo)</t>
        </is>
      </c>
      <c r="AG3" s="60" t="inlineStr">
        <is>
          <t>Medical Aid Provider</t>
        </is>
      </c>
      <c r="AH3" s="60" t="inlineStr">
        <is>
          <t>Medical Aid Scheme Ref (DEMO)</t>
        </is>
      </c>
      <c r="AI3" s="60" t="inlineStr">
        <is>
          <t>Basic Salary (BWP demo)</t>
        </is>
      </c>
      <c r="AJ3" s="60" t="inlineStr">
        <is>
          <t>Expected Subscription (formula BWP)</t>
        </is>
      </c>
      <c r="AK3" s="60" t="inlineStr">
        <is>
          <t>Group Life Fee (BWP demo)</t>
        </is>
      </c>
      <c r="AL3" s="60" t="inlineStr">
        <is>
          <t>Funeral/Admin Fee (BWP demo)</t>
        </is>
      </c>
      <c r="AM3" s="60" t="inlineStr">
        <is>
          <t>Estimated Demo Deduction Total (formula BWP)</t>
        </is>
      </c>
      <c r="AN3" s="60" t="inlineStr">
        <is>
          <t>Payroll Check-off Status</t>
        </is>
      </c>
      <c r="AO3" s="60" t="inlineStr">
        <is>
          <t>SACCOS ID (DEMO)</t>
        </is>
      </c>
      <c r="AP3" s="60" t="inlineStr">
        <is>
          <t>SACCOS Savings (BWP demo)</t>
        </is>
      </c>
      <c r="AQ3" s="60" t="inlineStr">
        <is>
          <t>Active Loan Status</t>
        </is>
      </c>
      <c r="AR3" s="60" t="inlineStr">
        <is>
          <t>Loan Balance (BWP demo)</t>
        </is>
      </c>
      <c r="AS3" s="60" t="inlineStr">
        <is>
          <t>Funeral Dependents (synthetic)</t>
        </is>
      </c>
      <c r="AT3" s="60" t="inlineStr">
        <is>
          <t>Extended Family Cover (synthetic)</t>
        </is>
      </c>
      <c r="AU3" s="60" t="inlineStr">
        <is>
          <t>Shop Steward Status</t>
        </is>
      </c>
      <c r="AV3" s="60" t="inlineStr">
        <is>
          <t>Grievance References (demo)</t>
        </is>
      </c>
      <c r="AW3" s="60" t="inlineStr">
        <is>
          <t>Selected Benefits (summary)</t>
        </is>
      </c>
      <c r="AX3" s="60" t="inlineStr">
        <is>
          <t>Last App Login (demo)</t>
        </is>
      </c>
      <c r="AY3" s="60" t="inlineStr">
        <is>
          <t>Profile Completion</t>
        </is>
      </c>
      <c r="AZ3" s="60" t="inlineStr">
        <is>
          <t>Profile Story / Demo Talking Point</t>
        </is>
      </c>
    </row>
    <row r="4" ht="46" customHeight="1" s="53">
      <c r="A4" s="75" t="inlineStr">
        <is>
          <t>MEM-DEMO-001</t>
        </is>
      </c>
      <c r="B4" s="75" t="inlineStr">
        <is>
          <t>BOPEU Members — Male</t>
        </is>
      </c>
      <c r="C4" s="75" t="inlineStr">
        <is>
          <t>Jackson Michaels</t>
        </is>
      </c>
      <c r="D4" s="75" t="inlineStr">
        <is>
          <t>Jackson Kabelo Michaels (fictional demo identity)</t>
        </is>
      </c>
      <c r="E4" s="75" t="n">
        <v>44</v>
      </c>
      <c r="F4" s="75" t="inlineStr">
        <is>
          <t>1982-03-18</t>
        </is>
      </c>
      <c r="G4" s="75" t="inlineStr">
        <is>
          <t>Male</t>
        </is>
      </c>
      <c r="H4" s="75" t="inlineStr">
        <is>
          <t>Active</t>
        </is>
      </c>
      <c r="I4" s="75" t="inlineStr">
        <is>
          <t>BOPEU-DEMO-M-001</t>
        </is>
      </c>
      <c r="J4" s="75" t="inlineStr">
        <is>
          <t>Active — demo verified</t>
        </is>
      </c>
      <c r="K4" s="75" t="inlineStr">
        <is>
          <t>2014-06-12</t>
        </is>
      </c>
      <c r="L4" s="75" t="inlineStr">
        <is>
          <t>DEMO-CARD-JM-001-7F3A [DISPLAY ONLY]</t>
        </is>
      </c>
      <c r="M4" s="75" t="inlineStr">
        <is>
          <t>DEMO-OMANG-001 [NOT A REAL OMANG]</t>
        </is>
      </c>
      <c r="N4" s="75" t="inlineStr">
        <is>
          <t>Office of the Auditor General</t>
        </is>
      </c>
      <c r="O4" s="75" t="inlineStr">
        <is>
          <t>Independent department — Government of Botswana</t>
        </is>
      </c>
      <c r="P4" s="75" t="inlineStr">
        <is>
          <t>Office of the Auditor General, Gaborone</t>
        </is>
      </c>
      <c r="Q4" s="75" t="inlineStr">
        <is>
          <t>Gaborone</t>
        </is>
      </c>
      <c r="R4" s="75" t="inlineStr">
        <is>
          <t>South-East</t>
        </is>
      </c>
      <c r="S4" s="75" t="inlineStr">
        <is>
          <t>Senior Audit Officer</t>
        </is>
      </c>
      <c r="T4" s="75" t="inlineStr">
        <is>
          <t>D2 (illustrative demo grade; not an official grade mapping)</t>
        </is>
      </c>
      <c r="U4" s="75" t="n">
        <v>17</v>
      </c>
      <c r="V4" s="75" t="inlineStr">
        <is>
          <t>Gaborone / Block 8 / DEMO-PLOT-101 [SYNTHETIC]</t>
        </is>
      </c>
      <c r="W4" s="75" t="inlineStr">
        <is>
          <t>MASCOM</t>
        </is>
      </c>
      <c r="X4" s="75" t="inlineStr">
        <is>
          <t>+267 7X XXX 101 [DEMO — NOT ROUTABLE]</t>
        </is>
      </c>
      <c r="Y4" s="75" t="inlineStr">
        <is>
          <t>+267 7X XXX 101 [DEMO — NOT ROUTABLE]</t>
        </is>
      </c>
      <c r="Z4" s="75" t="b">
        <v>1</v>
      </c>
      <c r="AA4" s="75" t="inlineStr">
        <is>
          <t>Not supplied</t>
        </is>
      </c>
      <c r="AB4" s="75" t="inlineStr">
        <is>
          <t>Not supplied</t>
        </is>
      </c>
      <c r="AC4" s="75" t="inlineStr">
        <is>
          <t>MyZaka</t>
        </is>
      </c>
      <c r="AD4" s="75" t="inlineStr">
        <is>
          <t>DEMO-WALLET-101</t>
        </is>
      </c>
      <c r="AE4" s="75" t="inlineStr">
        <is>
          <t>DEMO-BANK-ACCOUNT-101</t>
        </is>
      </c>
      <c r="AF4" s="75" t="inlineStr">
        <is>
          <t>facebook: https://example.invalid/demo.jackson.michaels; x: @demo_jacksonm; instagram: @demo.jackson.m; tiktok: Not supplied</t>
        </is>
      </c>
      <c r="AG4" s="75" t="inlineStr">
        <is>
          <t>BOMAID</t>
        </is>
      </c>
      <c r="AH4" s="75" t="inlineStr">
        <is>
          <t>DEMO-MED-SCHEME-001 [MASKED PLACEHOLDER]</t>
        </is>
      </c>
      <c r="AI4" s="93" t="n">
        <v>14250</v>
      </c>
      <c r="AJ4" s="93">
        <f>MIN(100,MAX(39.9,AI4*1%))</f>
        <v/>
      </c>
      <c r="AK4" s="93" t="n">
        <v>70</v>
      </c>
      <c r="AL4" s="93" t="n">
        <v>39.5</v>
      </c>
      <c r="AM4" s="93">
        <f>AJ4+AK4+AL4</f>
        <v/>
      </c>
      <c r="AN4" s="75" t="inlineStr">
        <is>
          <t>Matched — latest demo batch</t>
        </is>
      </c>
      <c r="AO4" s="75" t="inlineStr">
        <is>
          <t>DEMO-SACCOS-001</t>
        </is>
      </c>
      <c r="AP4" s="93" t="n">
        <v>18450</v>
      </c>
      <c r="AQ4" s="75" t="inlineStr">
        <is>
          <t>Active demo loan</t>
        </is>
      </c>
      <c r="AR4" s="93" t="n">
        <v>18450</v>
      </c>
      <c r="AS4" s="75" t="inlineStr">
        <is>
          <t>Masego Michaels (Spouse, DOB 1984-06-20); Kagiso Michaels (Child, DOB 2010-12-07)</t>
        </is>
      </c>
      <c r="AT4" s="75" t="inlineStr">
        <is>
          <t>Demo-Mother JM (Mother, age 76, Tier C — illustrative only, sample P88.00)</t>
        </is>
      </c>
      <c r="AU4" s="75" t="inlineStr">
        <is>
          <t>Regular member</t>
        </is>
      </c>
      <c r="AV4" s="75" t="inlineStr">
        <is>
          <t>DEMO-GRV-2026-031 — Resolved — explanation sent</t>
        </is>
      </c>
      <c r="AW4" s="75" t="inlineStr">
        <is>
          <t>Monthly savings account (Active demo); Personal loan (Active demo); Compulsory family funeral cover (Active demo); Optional extended-family cover (Quote illustration); Member eligibility / diagnostic savings (Demo eligible response); Motor insurance quote (Quote requested)</t>
        </is>
      </c>
      <c r="AX4" s="75" t="inlineStr">
        <is>
          <t>2026-10-24 19:42 (demo)</t>
        </is>
      </c>
      <c r="AY4" s="75" t="n">
        <v>96</v>
      </c>
      <c r="AZ4" s="75" t="inlineStr">
        <is>
          <t>A long-serving audit professional who checks deductions carefully, saves useful union documents and prefers service notifications over commercial promotions.</t>
        </is>
      </c>
    </row>
    <row r="5" ht="46" customHeight="1" s="53">
      <c r="A5" s="75" t="inlineStr">
        <is>
          <t>MEM-DEMO-002</t>
        </is>
      </c>
      <c r="B5" s="75" t="inlineStr">
        <is>
          <t>BOPEU Members — Male</t>
        </is>
      </c>
      <c r="C5" s="75" t="inlineStr">
        <is>
          <t>James Dudumang</t>
        </is>
      </c>
      <c r="D5" s="75" t="inlineStr">
        <is>
          <t>James Odirile Dudumang (fictional demo identity)</t>
        </is>
      </c>
      <c r="E5" s="75" t="n">
        <v>52</v>
      </c>
      <c r="F5" s="75" t="inlineStr">
        <is>
          <t>1974-07-10</t>
        </is>
      </c>
      <c r="G5" s="75" t="inlineStr">
        <is>
          <t>Male</t>
        </is>
      </c>
      <c r="H5" s="75" t="inlineStr">
        <is>
          <t>Active</t>
        </is>
      </c>
      <c r="I5" s="75" t="inlineStr">
        <is>
          <t>BOPEU-DEMO-M-002</t>
        </is>
      </c>
      <c r="J5" s="75" t="inlineStr">
        <is>
          <t>Active — payroll review flag</t>
        </is>
      </c>
      <c r="K5" s="75" t="inlineStr">
        <is>
          <t>2016-03-04</t>
        </is>
      </c>
      <c r="L5" s="75" t="inlineStr">
        <is>
          <t>DEMO-CARD-JD-002-91B4 [DISPLAY ONLY]</t>
        </is>
      </c>
      <c r="M5" s="75" t="inlineStr">
        <is>
          <t>DEMO-OMANG-002 [NOT A REAL OMANG]</t>
        </is>
      </c>
      <c r="N5" s="75" t="inlineStr">
        <is>
          <t>Ministry of Health</t>
        </is>
      </c>
      <c r="O5" s="75" t="inlineStr">
        <is>
          <t>Ministry of Health, Government of Botswana</t>
        </is>
      </c>
      <c r="P5" s="75" t="inlineStr">
        <is>
          <t>Letsholathebe II Memorial Hospital, Maun</t>
        </is>
      </c>
      <c r="Q5" s="75" t="inlineStr">
        <is>
          <t>Maun</t>
        </is>
      </c>
      <c r="R5" s="75" t="inlineStr">
        <is>
          <t>North-West</t>
        </is>
      </c>
      <c r="S5" s="75" t="inlineStr">
        <is>
          <t>Stores and Logistics Supervisor</t>
        </is>
      </c>
      <c r="T5" s="75" t="inlineStr">
        <is>
          <t>C2 (illustrative demo grade; not an official grade mapping)</t>
        </is>
      </c>
      <c r="U5" s="75" t="n">
        <v>21</v>
      </c>
      <c r="V5" s="75" t="inlineStr">
        <is>
          <t>Maun / Boseja / DEMO-PLOT-102 [SYNTHETIC]</t>
        </is>
      </c>
      <c r="W5" s="75" t="inlineStr">
        <is>
          <t>ORANGE</t>
        </is>
      </c>
      <c r="X5" s="75" t="inlineStr">
        <is>
          <t>+267 7X XXX 102 [DEMO — NOT ROUTABLE]</t>
        </is>
      </c>
      <c r="Y5" s="75" t="inlineStr">
        <is>
          <t>+267 7X XXX 102 [DEMO — NOT ROUTABLE]</t>
        </is>
      </c>
      <c r="Z5" s="75" t="b">
        <v>1</v>
      </c>
      <c r="AA5" s="75" t="inlineStr">
        <is>
          <t>Not supplied</t>
        </is>
      </c>
      <c r="AB5" s="75" t="inlineStr">
        <is>
          <t>Not supplied</t>
        </is>
      </c>
      <c r="AC5" s="75" t="inlineStr">
        <is>
          <t>Orange Money</t>
        </is>
      </c>
      <c r="AD5" s="75" t="inlineStr">
        <is>
          <t>DEMO-WALLET-102</t>
        </is>
      </c>
      <c r="AE5" s="75" t="inlineStr">
        <is>
          <t>DEMO-BANK-ACCOUNT-102</t>
        </is>
      </c>
      <c r="AF5" s="75" t="inlineStr">
        <is>
          <t>facebook: Not supplied; x: Not supplied; instagram: @demo.jamesd; tiktok: Not supplied</t>
        </is>
      </c>
      <c r="AG5" s="75" t="inlineStr">
        <is>
          <t>BPOMAS</t>
        </is>
      </c>
      <c r="AH5" s="75" t="inlineStr">
        <is>
          <t>DEMO-MED-SCHEME-002 [MASKED PLACEHOLDER]</t>
        </is>
      </c>
      <c r="AI5" s="93" t="n">
        <v>9650</v>
      </c>
      <c r="AJ5" s="93">
        <f>MIN(100,MAX(39.9,AI5*1%))</f>
        <v/>
      </c>
      <c r="AK5" s="93" t="n">
        <v>70</v>
      </c>
      <c r="AL5" s="93" t="n">
        <v>20</v>
      </c>
      <c r="AM5" s="93">
        <f>AJ5+AK5+AL5</f>
        <v/>
      </c>
      <c r="AN5" s="75" t="inlineStr">
        <is>
          <t>Review needed — transfer/employer-code change</t>
        </is>
      </c>
      <c r="AO5" s="75" t="inlineStr">
        <is>
          <t>DEMO-SACCOS-002</t>
        </is>
      </c>
      <c r="AP5" s="93" t="n">
        <v>2850</v>
      </c>
      <c r="AQ5" s="75" t="inlineStr">
        <is>
          <t>No active loan shown</t>
        </is>
      </c>
      <c r="AR5" s="93" t="n">
        <v>0</v>
      </c>
      <c r="AS5" s="75" t="inlineStr">
        <is>
          <t>Demo-Spouse JD (Spouse, DOB 1977-10-11); Demo-Child JD A (Child, DOB 2007-04-17); Demo-Child JD B (Child, DOB 2013-02-12)</t>
        </is>
      </c>
      <c r="AT5" s="75" t="inlineStr">
        <is>
          <t>Not selected</t>
        </is>
      </c>
      <c r="AU5" s="75" t="inlineStr">
        <is>
          <t>Regular member</t>
        </is>
      </c>
      <c r="AV5" s="75" t="inlineStr">
        <is>
          <t>DEMO-GRV-2026-044 — Finance review</t>
        </is>
      </c>
      <c r="AW5" s="75" t="inlineStr">
        <is>
          <t>Savings account (Active demo); Family funeral cover (Active demo — review banner); Building-material scheme (Planning saved — not submitted); Loan facility information request (Pre-application draft); Medical-aid member verification (Awaiting partner confirmation)</t>
        </is>
      </c>
      <c r="AX5" s="75" t="inlineStr">
        <is>
          <t>2026-10-25 07:16 (demo)</t>
        </is>
      </c>
      <c r="AY5" s="75" t="n">
        <v>88</v>
      </c>
      <c r="AZ5" s="75" t="inlineStr">
        <is>
          <t>An experienced hospital logistics supervisor whose dashboard highlights a check-off review, family cover and a saved home-improvement plan.</t>
        </is>
      </c>
    </row>
    <row r="6" ht="46" customHeight="1" s="53">
      <c r="A6" s="79" t="inlineStr">
        <is>
          <t>MEM-DEMO-003</t>
        </is>
      </c>
      <c r="B6" s="79" t="inlineStr">
        <is>
          <t>BOPEU Members — Male</t>
        </is>
      </c>
      <c r="C6" s="79" t="inlineStr">
        <is>
          <t>Kabelo Modise</t>
        </is>
      </c>
      <c r="D6" s="79" t="inlineStr">
        <is>
          <t>Kabelo Thuso Modise (fictional demo identity)</t>
        </is>
      </c>
      <c r="E6" s="79" t="n">
        <v>36</v>
      </c>
      <c r="F6" s="79" t="inlineStr">
        <is>
          <t>1989-11-30</t>
        </is>
      </c>
      <c r="G6" s="79" t="inlineStr">
        <is>
          <t>Male</t>
        </is>
      </c>
      <c r="H6" s="79" t="inlineStr">
        <is>
          <t>Active</t>
        </is>
      </c>
      <c r="I6" s="79" t="inlineStr">
        <is>
          <t>BOPEU-DEMO-M-003</t>
        </is>
      </c>
      <c r="J6" s="79" t="inlineStr">
        <is>
          <t>Active — demo verified</t>
        </is>
      </c>
      <c r="K6" s="79" t="inlineStr">
        <is>
          <t>2018-09-21</t>
        </is>
      </c>
      <c r="L6" s="79" t="inlineStr">
        <is>
          <t>DEMO-CARD-KM-003-4C8D [DISPLAY ONLY]</t>
        </is>
      </c>
      <c r="M6" s="79" t="inlineStr">
        <is>
          <t>DEMO-OMANG-003 [NOT A REAL OMANG]</t>
        </is>
      </c>
      <c r="N6" s="79" t="inlineStr">
        <is>
          <t>Botswana Unified Revenue Service (BURS)</t>
        </is>
      </c>
      <c r="O6" s="79" t="inlineStr">
        <is>
          <t>Public revenue authority</t>
        </is>
      </c>
      <c r="P6" s="79" t="inlineStr">
        <is>
          <t>BURS Francistown Taxpayer Service Centre, Francistown</t>
        </is>
      </c>
      <c r="Q6" s="79" t="inlineStr">
        <is>
          <t>Francistown</t>
        </is>
      </c>
      <c r="R6" s="79" t="inlineStr">
        <is>
          <t>North-East</t>
        </is>
      </c>
      <c r="S6" s="79" t="inlineStr">
        <is>
          <t>Tax Compliance Officer</t>
        </is>
      </c>
      <c r="T6" s="79" t="inlineStr">
        <is>
          <t>D1 (illustrative demo grade; not an official grade mapping)</t>
        </is>
      </c>
      <c r="U6" s="79" t="n">
        <v>11</v>
      </c>
      <c r="V6" s="79" t="inlineStr">
        <is>
          <t>Francistown / Gerald Estates / DEMO-PLOT-103 [SYNTHETIC]</t>
        </is>
      </c>
      <c r="W6" s="79" t="inlineStr">
        <is>
          <t>BTC</t>
        </is>
      </c>
      <c r="X6" s="79" t="inlineStr">
        <is>
          <t>+267 7X XXX 103 [DEMO — NOT ROUTABLE]</t>
        </is>
      </c>
      <c r="Y6" s="79" t="inlineStr">
        <is>
          <t>+267 7X XXX 103 [DEMO — NOT ROUTABLE]</t>
        </is>
      </c>
      <c r="Z6" s="79" t="b">
        <v>1</v>
      </c>
      <c r="AA6" s="79" t="inlineStr">
        <is>
          <t>Not supplied</t>
        </is>
      </c>
      <c r="AB6" s="79" t="inlineStr">
        <is>
          <t>Not supplied</t>
        </is>
      </c>
      <c r="AC6" s="79" t="inlineStr">
        <is>
          <t>Smega</t>
        </is>
      </c>
      <c r="AD6" s="79" t="inlineStr">
        <is>
          <t>DEMO-WALLET-103</t>
        </is>
      </c>
      <c r="AE6" s="79" t="inlineStr">
        <is>
          <t>DEMO-BANK-ACCOUNT-103</t>
        </is>
      </c>
      <c r="AF6" s="79" t="inlineStr">
        <is>
          <t>facebook: https://example.invalid/demo.kabelo.modise; x: @demo_kmodise; instagram: Not supplied; tiktok: @demo.kabelo</t>
        </is>
      </c>
      <c r="AG6" s="79" t="inlineStr">
        <is>
          <t>No medical aid recorded in this demo profile</t>
        </is>
      </c>
      <c r="AH6" s="79" t="inlineStr">
        <is>
          <t>Not applicable</t>
        </is>
      </c>
      <c r="AI6" s="94" t="n">
        <v>12100</v>
      </c>
      <c r="AJ6" s="94">
        <f>MIN(100,MAX(39.9,AI6*1%))</f>
        <v/>
      </c>
      <c r="AK6" s="94" t="n">
        <v>70</v>
      </c>
      <c r="AL6" s="94" t="n">
        <v>39.5</v>
      </c>
      <c r="AM6" s="94">
        <f>AJ6+AK6+AL6</f>
        <v/>
      </c>
      <c r="AN6" s="79" t="inlineStr">
        <is>
          <t>Matched — latest demo batch</t>
        </is>
      </c>
      <c r="AO6" s="79" t="inlineStr">
        <is>
          <t>DEMO-SACCOS-003</t>
        </is>
      </c>
      <c r="AP6" s="94" t="n">
        <v>9240</v>
      </c>
      <c r="AQ6" s="79" t="inlineStr">
        <is>
          <t>Active demo micro-loan</t>
        </is>
      </c>
      <c r="AR6" s="94" t="n">
        <v>9200</v>
      </c>
      <c r="AS6" s="79" t="inlineStr">
        <is>
          <t>Demo-Spouse KM (Spouse, DOB 1991-04-24); Demo-Child KM A (Child, DOB 2014-02-13); Demo-Child KM B (Child, DOB 2018-09-02)</t>
        </is>
      </c>
      <c r="AT6" s="79" t="inlineStr">
        <is>
          <t>Not selected</t>
        </is>
      </c>
      <c r="AU6" s="79" t="inlineStr">
        <is>
          <t>Workplace Shop Steward</t>
        </is>
      </c>
      <c r="AV6" s="79" t="inlineStr">
        <is>
          <t>DEMO-GRV-2026-041 — Assigned to Industrial Relations &amp; Legal Officer</t>
        </is>
      </c>
      <c r="AW6" s="79" t="inlineStr">
        <is>
          <t>Savings account (Active demo); Micro-loan (Active demo); Family funeral cover (Active demo); Motor insurance quote (Quote requested); Member health-service savings (Offer details to confirm)</t>
        </is>
      </c>
      <c r="AX6" s="79" t="inlineStr">
        <is>
          <t>2026-10-24 21:08 (demo)</t>
        </is>
      </c>
      <c r="AY6" s="79" t="n">
        <v>100</v>
      </c>
      <c r="AZ6" s="79" t="inlineStr">
        <is>
          <t>A digitally engaged tax-compliance officer and workplace shop steward who follows case updates and often checks partner cards before visiting a branch.</t>
        </is>
      </c>
    </row>
    <row r="7">
      <c r="AI7" s="95" t="n"/>
      <c r="AJ7" s="95" t="n"/>
      <c r="AK7" s="95" t="n"/>
      <c r="AL7" s="95" t="n"/>
      <c r="AM7" s="95" t="n"/>
      <c r="AP7" s="95" t="n"/>
      <c r="AR7" s="95" t="n"/>
    </row>
    <row r="8">
      <c r="AI8" s="95" t="n"/>
      <c r="AJ8" s="95" t="n"/>
      <c r="AK8" s="95" t="n"/>
      <c r="AL8" s="95" t="n"/>
      <c r="AM8" s="95" t="n"/>
      <c r="AP8" s="95" t="n"/>
      <c r="AR8" s="95" t="n"/>
    </row>
    <row r="9">
      <c r="AI9" s="95" t="n"/>
      <c r="AJ9" s="95" t="n"/>
      <c r="AK9" s="95" t="n"/>
      <c r="AL9" s="95" t="n"/>
      <c r="AM9" s="95" t="n"/>
      <c r="AP9" s="95" t="n"/>
      <c r="AR9" s="95" t="n"/>
    </row>
    <row r="10">
      <c r="AI10" s="95" t="n"/>
      <c r="AJ10" s="95" t="n"/>
      <c r="AK10" s="95" t="n"/>
      <c r="AL10" s="95" t="n"/>
      <c r="AM10" s="95" t="n"/>
      <c r="AP10" s="95" t="n"/>
      <c r="AR10" s="95" t="n"/>
    </row>
  </sheetData>
  <mergeCells count="2">
    <mergeCell ref="A2:AZ2"/>
    <mergeCell ref="A1:AZ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Z10"/>
  <sheetViews>
    <sheetView workbookViewId="0">
      <pane ySplit="3" topLeftCell="A4" activePane="bottomLeft" state="frozen"/>
      <selection activeCell="A1" sqref="A1"/>
    </sheetView>
  </sheetViews>
  <sheetFormatPr baseColWidth="8" defaultRowHeight="15"/>
  <cols>
    <col width="18" customWidth="1" style="53" min="1" max="1"/>
    <col width="18" customWidth="1" style="53" min="2" max="2"/>
    <col width="30" customWidth="1" style="53" min="3" max="3"/>
    <col width="30" customWidth="1" style="53" min="4" max="4"/>
    <col width="18" customWidth="1" style="53" min="5" max="5"/>
    <col width="18" customWidth="1" style="53" min="6" max="6"/>
    <col width="18" customWidth="1" style="53" min="7" max="7"/>
    <col width="18" customWidth="1" style="53" min="8" max="8"/>
    <col width="18" customWidth="1" style="53" min="9" max="9"/>
    <col width="18" customWidth="1" style="53" min="10" max="10"/>
    <col width="18" customWidth="1" style="53" min="11" max="11"/>
    <col width="32" customWidth="1" style="53" min="12" max="12"/>
    <col width="32" customWidth="1" style="53" min="13" max="13"/>
    <col width="30" customWidth="1" style="53" min="14" max="14"/>
    <col width="30" customWidth="1" style="53" min="15" max="15"/>
    <col width="30" customWidth="1" style="53" min="16" max="16"/>
    <col width="18" customWidth="1" style="53" min="17" max="17"/>
    <col width="18" customWidth="1" style="53" min="18" max="18"/>
    <col width="30" customWidth="1" style="53" min="19" max="19"/>
    <col width="18" customWidth="1" style="53" min="20" max="20"/>
    <col width="18" customWidth="1" style="53" min="21" max="21"/>
    <col width="30" customWidth="1" style="53" min="22" max="22"/>
    <col width="18" customWidth="1" style="53" min="23" max="23"/>
    <col width="18" customWidth="1" style="53" min="24" max="24"/>
    <col width="18" customWidth="1" style="53" min="25" max="25"/>
    <col width="18" customWidth="1" style="53" min="26" max="26"/>
    <col width="18" customWidth="1" style="53" min="27" max="27"/>
    <col width="18" customWidth="1" style="53" min="28" max="28"/>
    <col width="18" customWidth="1" style="53" min="29" max="29"/>
    <col width="18" customWidth="1" style="53" min="30" max="30"/>
    <col width="18" customWidth="1" style="53" min="31" max="31"/>
    <col width="32" customWidth="1" style="53" min="32" max="32"/>
    <col width="18" customWidth="1" style="53" min="33" max="33"/>
    <col width="18" customWidth="1" style="53" min="34" max="34"/>
    <col width="16" customWidth="1" style="53" min="35" max="35"/>
    <col width="16" customWidth="1" style="53" min="36" max="36"/>
    <col width="16" customWidth="1" style="53" min="37" max="37"/>
    <col width="16" customWidth="1" style="53" min="38" max="38"/>
    <col width="16" customWidth="1" style="53" min="39" max="39"/>
    <col width="18" customWidth="1" style="53" min="40" max="40"/>
    <col width="18" customWidth="1" style="53" min="41" max="41"/>
    <col width="16" customWidth="1" style="53" min="42" max="42"/>
    <col width="18" customWidth="1" style="53" min="43" max="43"/>
    <col width="16" customWidth="1" style="53" min="44" max="44"/>
    <col width="32" customWidth="1" style="53" min="45" max="45"/>
    <col width="32" customWidth="1" style="53" min="46" max="46"/>
    <col width="18" customWidth="1" style="53" min="47" max="47"/>
    <col width="32" customWidth="1" style="53" min="48" max="48"/>
    <col width="32" customWidth="1" style="53" min="49" max="49"/>
    <col width="18" customWidth="1" style="53" min="50" max="50"/>
    <col width="18" customWidth="1" style="53" min="51" max="51"/>
    <col width="42" customWidth="1" style="53" min="52" max="52"/>
  </cols>
  <sheetData>
    <row r="1" ht="30" customHeight="1" s="53">
      <c r="A1" s="83" t="inlineStr">
        <is>
          <t>BOPEU MEMBER PROFILES — FEMALE GROUP</t>
        </is>
      </c>
      <c r="B1" s="55" t="n"/>
      <c r="C1" s="55" t="n"/>
      <c r="D1" s="55" t="n"/>
      <c r="E1" s="55" t="n"/>
      <c r="F1" s="55" t="n"/>
      <c r="G1" s="55" t="n"/>
      <c r="H1" s="55" t="n"/>
      <c r="I1" s="55" t="n"/>
      <c r="J1" s="55" t="n"/>
      <c r="K1" s="55" t="n"/>
      <c r="L1" s="55" t="n"/>
      <c r="M1" s="55" t="n"/>
      <c r="N1" s="55" t="n"/>
      <c r="O1" s="55" t="n"/>
      <c r="P1" s="55" t="n"/>
      <c r="Q1" s="55" t="n"/>
      <c r="R1" s="55" t="n"/>
      <c r="S1" s="55" t="n"/>
      <c r="T1" s="55" t="n"/>
      <c r="U1" s="55" t="n"/>
      <c r="V1" s="55" t="n"/>
      <c r="W1" s="55" t="n"/>
      <c r="X1" s="55" t="n"/>
      <c r="Y1" s="55" t="n"/>
      <c r="Z1" s="55" t="n"/>
      <c r="AA1" s="55" t="n"/>
      <c r="AB1" s="55" t="n"/>
      <c r="AC1" s="55" t="n"/>
      <c r="AD1" s="55" t="n"/>
      <c r="AE1" s="55" t="n"/>
      <c r="AF1" s="55" t="n"/>
      <c r="AG1" s="55" t="n"/>
      <c r="AH1" s="55" t="n"/>
      <c r="AI1" s="55" t="n"/>
      <c r="AJ1" s="55" t="n"/>
      <c r="AK1" s="55" t="n"/>
      <c r="AL1" s="55" t="n"/>
      <c r="AM1" s="55" t="n"/>
      <c r="AN1" s="55" t="n"/>
      <c r="AO1" s="55" t="n"/>
      <c r="AP1" s="55" t="n"/>
      <c r="AQ1" s="55" t="n"/>
      <c r="AR1" s="55" t="n"/>
      <c r="AS1" s="55" t="n"/>
      <c r="AT1" s="55" t="n"/>
      <c r="AU1" s="55" t="n"/>
      <c r="AV1" s="55" t="n"/>
      <c r="AW1" s="55" t="n"/>
      <c r="AX1" s="55" t="n"/>
      <c r="AY1" s="55" t="n"/>
      <c r="AZ1" s="55" t="n"/>
    </row>
    <row r="2" ht="34" customHeight="1" s="53">
      <c r="A2" s="54" t="inlineStr">
        <is>
          <t>Fictional demo identities and all associated values are synthetic. Masked contact refs are not routable; salary/deductions are not real payroll data.</t>
        </is>
      </c>
      <c r="B2" s="55" t="n"/>
      <c r="C2" s="55" t="n"/>
      <c r="D2" s="55" t="n"/>
      <c r="E2" s="55" t="n"/>
      <c r="F2" s="55" t="n"/>
      <c r="G2" s="55" t="n"/>
      <c r="H2" s="55" t="n"/>
      <c r="I2" s="55" t="n"/>
      <c r="J2" s="55" t="n"/>
      <c r="K2" s="55" t="n"/>
      <c r="L2" s="55" t="n"/>
      <c r="M2" s="55" t="n"/>
      <c r="N2" s="55" t="n"/>
      <c r="O2" s="55" t="n"/>
      <c r="P2" s="55" t="n"/>
      <c r="Q2" s="55" t="n"/>
      <c r="R2" s="55" t="n"/>
      <c r="S2" s="55" t="n"/>
      <c r="T2" s="55" t="n"/>
      <c r="U2" s="55" t="n"/>
      <c r="V2" s="55" t="n"/>
      <c r="W2" s="55" t="n"/>
      <c r="X2" s="55" t="n"/>
      <c r="Y2" s="55" t="n"/>
      <c r="Z2" s="55" t="n"/>
      <c r="AA2" s="55" t="n"/>
      <c r="AB2" s="55" t="n"/>
      <c r="AC2" s="55" t="n"/>
      <c r="AD2" s="55" t="n"/>
      <c r="AE2" s="55" t="n"/>
      <c r="AF2" s="55" t="n"/>
      <c r="AG2" s="55" t="n"/>
      <c r="AH2" s="55" t="n"/>
      <c r="AI2" s="55" t="n"/>
      <c r="AJ2" s="55" t="n"/>
      <c r="AK2" s="55" t="n"/>
      <c r="AL2" s="55" t="n"/>
      <c r="AM2" s="55" t="n"/>
      <c r="AN2" s="55" t="n"/>
      <c r="AO2" s="55" t="n"/>
      <c r="AP2" s="55" t="n"/>
      <c r="AQ2" s="55" t="n"/>
      <c r="AR2" s="55" t="n"/>
      <c r="AS2" s="55" t="n"/>
      <c r="AT2" s="55" t="n"/>
      <c r="AU2" s="55" t="n"/>
      <c r="AV2" s="55" t="n"/>
      <c r="AW2" s="55" t="n"/>
      <c r="AX2" s="55" t="n"/>
      <c r="AY2" s="55" t="n"/>
      <c r="AZ2" s="55" t="n"/>
    </row>
    <row r="3" ht="42" customHeight="1" s="53">
      <c r="A3" s="60" t="inlineStr">
        <is>
          <t>Demo Record ID</t>
        </is>
      </c>
      <c r="B3" s="60" t="inlineStr">
        <is>
          <t>Group</t>
        </is>
      </c>
      <c r="C3" s="60" t="inlineStr">
        <is>
          <t>Display Name</t>
        </is>
      </c>
      <c r="D3" s="60" t="inlineStr">
        <is>
          <t>Fictional Full Name</t>
        </is>
      </c>
      <c r="E3" s="60" t="inlineStr">
        <is>
          <t>Age</t>
        </is>
      </c>
      <c r="F3" s="60" t="inlineStr">
        <is>
          <t>DOB</t>
        </is>
      </c>
      <c r="G3" s="60" t="inlineStr">
        <is>
          <t>Gender</t>
        </is>
      </c>
      <c r="H3" s="60" t="inlineStr">
        <is>
          <t>Employment Status</t>
        </is>
      </c>
      <c r="I3" s="60" t="inlineStr">
        <is>
          <t>Membership No. (DEMO)</t>
        </is>
      </c>
      <c r="J3" s="60" t="inlineStr">
        <is>
          <t>Membership Status</t>
        </is>
      </c>
      <c r="K3" s="60" t="inlineStr">
        <is>
          <t>Member Since</t>
        </is>
      </c>
      <c r="L3" s="60" t="inlineStr">
        <is>
          <t>Digital Card Token (DEMO)</t>
        </is>
      </c>
      <c r="M3" s="60" t="inlineStr">
        <is>
          <t>Omang Ref (DEMO)</t>
        </is>
      </c>
      <c r="N3" s="60" t="inlineStr">
        <is>
          <t>Employer / Organisation</t>
        </is>
      </c>
      <c r="O3" s="60" t="inlineStr">
        <is>
          <t>Government Parent / Ministry</t>
        </is>
      </c>
      <c r="P3" s="60" t="inlineStr">
        <is>
          <t>Physical Workplace</t>
        </is>
      </c>
      <c r="Q3" s="60" t="inlineStr">
        <is>
          <t>Work City</t>
        </is>
      </c>
      <c r="R3" s="60" t="inlineStr">
        <is>
          <t>Work Region</t>
        </is>
      </c>
      <c r="S3" s="60" t="inlineStr">
        <is>
          <t>Position</t>
        </is>
      </c>
      <c r="T3" s="60" t="inlineStr">
        <is>
          <t>Grade (illustrative only)</t>
        </is>
      </c>
      <c r="U3" s="60" t="inlineStr">
        <is>
          <t>Years of Service</t>
        </is>
      </c>
      <c r="V3" s="60" t="inlineStr">
        <is>
          <t>Residence City / Area / Plot (demo)</t>
        </is>
      </c>
      <c r="W3" s="60" t="inlineStr">
        <is>
          <t>Primary Network</t>
        </is>
      </c>
      <c r="X3" s="60" t="inlineStr">
        <is>
          <t>Primary Mobile (masked)</t>
        </is>
      </c>
      <c r="Y3" s="60" t="inlineStr">
        <is>
          <t>WhatsApp Number (masked)</t>
        </is>
      </c>
      <c r="Z3" s="60" t="inlineStr">
        <is>
          <t>WhatsApp Linked</t>
        </is>
      </c>
      <c r="AA3" s="60" t="inlineStr">
        <is>
          <t>Secondary Network</t>
        </is>
      </c>
      <c r="AB3" s="60" t="inlineStr">
        <is>
          <t>Secondary Mobile (masked)</t>
        </is>
      </c>
      <c r="AC3" s="60" t="inlineStr">
        <is>
          <t>Mobile Wallet Provider</t>
        </is>
      </c>
      <c r="AD3" s="60" t="inlineStr">
        <is>
          <t>Wallet Ref (DEMO)</t>
        </is>
      </c>
      <c r="AE3" s="60" t="inlineStr">
        <is>
          <t>Bank Account Ref (DEMO)</t>
        </is>
      </c>
      <c r="AF3" s="60" t="inlineStr">
        <is>
          <t>Social Handles (demo)</t>
        </is>
      </c>
      <c r="AG3" s="60" t="inlineStr">
        <is>
          <t>Medical Aid Provider</t>
        </is>
      </c>
      <c r="AH3" s="60" t="inlineStr">
        <is>
          <t>Medical Aid Scheme Ref (DEMO)</t>
        </is>
      </c>
      <c r="AI3" s="60" t="inlineStr">
        <is>
          <t>Basic Salary (BWP demo)</t>
        </is>
      </c>
      <c r="AJ3" s="60" t="inlineStr">
        <is>
          <t>Expected Subscription (formula BWP)</t>
        </is>
      </c>
      <c r="AK3" s="60" t="inlineStr">
        <is>
          <t>Group Life Fee (BWP demo)</t>
        </is>
      </c>
      <c r="AL3" s="60" t="inlineStr">
        <is>
          <t>Funeral/Admin Fee (BWP demo)</t>
        </is>
      </c>
      <c r="AM3" s="60" t="inlineStr">
        <is>
          <t>Estimated Demo Deduction Total (formula BWP)</t>
        </is>
      </c>
      <c r="AN3" s="60" t="inlineStr">
        <is>
          <t>Payroll Check-off Status</t>
        </is>
      </c>
      <c r="AO3" s="60" t="inlineStr">
        <is>
          <t>SACCOS ID (DEMO)</t>
        </is>
      </c>
      <c r="AP3" s="60" t="inlineStr">
        <is>
          <t>SACCOS Savings (BWP demo)</t>
        </is>
      </c>
      <c r="AQ3" s="60" t="inlineStr">
        <is>
          <t>Active Loan Status</t>
        </is>
      </c>
      <c r="AR3" s="60" t="inlineStr">
        <is>
          <t>Loan Balance (BWP demo)</t>
        </is>
      </c>
      <c r="AS3" s="60" t="inlineStr">
        <is>
          <t>Funeral Dependents (synthetic)</t>
        </is>
      </c>
      <c r="AT3" s="60" t="inlineStr">
        <is>
          <t>Extended Family Cover (synthetic)</t>
        </is>
      </c>
      <c r="AU3" s="60" t="inlineStr">
        <is>
          <t>Shop Steward Status</t>
        </is>
      </c>
      <c r="AV3" s="60" t="inlineStr">
        <is>
          <t>Grievance References (demo)</t>
        </is>
      </c>
      <c r="AW3" s="60" t="inlineStr">
        <is>
          <t>Selected Benefits (summary)</t>
        </is>
      </c>
      <c r="AX3" s="60" t="inlineStr">
        <is>
          <t>Last App Login (demo)</t>
        </is>
      </c>
      <c r="AY3" s="60" t="inlineStr">
        <is>
          <t>Profile Completion</t>
        </is>
      </c>
      <c r="AZ3" s="60" t="inlineStr">
        <is>
          <t>Profile Story / Demo Talking Point</t>
        </is>
      </c>
    </row>
    <row r="4" ht="46" customHeight="1" s="53">
      <c r="A4" s="75" t="inlineStr">
        <is>
          <t>MEM-DEMO-004</t>
        </is>
      </c>
      <c r="B4" s="75" t="inlineStr">
        <is>
          <t>BOPEU Members — Female</t>
        </is>
      </c>
      <c r="C4" s="75" t="inlineStr">
        <is>
          <t>Mercy Peters</t>
        </is>
      </c>
      <c r="D4" s="75" t="inlineStr">
        <is>
          <t>Mercy Gosego Peters (fictional demo identity)</t>
        </is>
      </c>
      <c r="E4" s="75" t="n">
        <v>34</v>
      </c>
      <c r="F4" s="75" t="inlineStr">
        <is>
          <t>1992-05-07</t>
        </is>
      </c>
      <c r="G4" s="75" t="inlineStr">
        <is>
          <t>Female</t>
        </is>
      </c>
      <c r="H4" s="75" t="inlineStr">
        <is>
          <t>Active</t>
        </is>
      </c>
      <c r="I4" s="75" t="inlineStr">
        <is>
          <t>BOPEU-DEMO-F-004</t>
        </is>
      </c>
      <c r="J4" s="75" t="inlineStr">
        <is>
          <t>Active — demo verified</t>
        </is>
      </c>
      <c r="K4" s="75" t="inlineStr">
        <is>
          <t>2020-01-13</t>
        </is>
      </c>
      <c r="L4" s="75" t="inlineStr">
        <is>
          <t>DEMO-CARD-MP-004-6D21 [DISPLAY ONLY]</t>
        </is>
      </c>
      <c r="M4" s="75" t="inlineStr">
        <is>
          <t>DEMO-OMANG-004 [NOT A REAL OMANG]</t>
        </is>
      </c>
      <c r="N4" s="75" t="inlineStr">
        <is>
          <t>Ministry of Child Welfare and Basic Education</t>
        </is>
      </c>
      <c r="O4" s="75" t="inlineStr">
        <is>
          <t>Government of Botswana</t>
        </is>
      </c>
      <c r="P4" s="75" t="inlineStr">
        <is>
          <t>Palapye Senior Secondary School, Palapye</t>
        </is>
      </c>
      <c r="Q4" s="75" t="inlineStr">
        <is>
          <t>Palapye</t>
        </is>
      </c>
      <c r="R4" s="75" t="inlineStr">
        <is>
          <t>Central</t>
        </is>
      </c>
      <c r="S4" s="75" t="inlineStr">
        <is>
          <t>Senior Teacher — Mathematics and Science</t>
        </is>
      </c>
      <c r="T4" s="75" t="inlineStr">
        <is>
          <t>C3 (illustrative demo grade; not an official grade mapping)</t>
        </is>
      </c>
      <c r="U4" s="75" t="n">
        <v>10</v>
      </c>
      <c r="V4" s="75" t="inlineStr">
        <is>
          <t>Palapye / Extension 4 / DEMO-PLOT-104 [SYNTHETIC]</t>
        </is>
      </c>
      <c r="W4" s="75" t="inlineStr">
        <is>
          <t>MASCOM</t>
        </is>
      </c>
      <c r="X4" s="75" t="inlineStr">
        <is>
          <t>+267 7X XXX 104 [DEMO — NOT ROUTABLE]</t>
        </is>
      </c>
      <c r="Y4" s="75" t="inlineStr">
        <is>
          <t>+267 7X XXX 104 [DEMO — NOT ROUTABLE]</t>
        </is>
      </c>
      <c r="Z4" s="75" t="b">
        <v>1</v>
      </c>
      <c r="AA4" s="75" t="inlineStr">
        <is>
          <t>Not supplied</t>
        </is>
      </c>
      <c r="AB4" s="75" t="inlineStr">
        <is>
          <t>Not supplied</t>
        </is>
      </c>
      <c r="AC4" s="75" t="inlineStr">
        <is>
          <t>Traditional bank transfer (demo)</t>
        </is>
      </c>
      <c r="AD4" s="75" t="inlineStr">
        <is>
          <t>DEMO-WALLET-104</t>
        </is>
      </c>
      <c r="AE4" s="75" t="inlineStr">
        <is>
          <t>DEMO-BANK-ACCOUNT-104</t>
        </is>
      </c>
      <c r="AF4" s="75" t="inlineStr">
        <is>
          <t>facebook: https://example.invalid/demo.mercy.peters; x: Not supplied; instagram: @demo.mercyp; tiktok: @demo.mercy</t>
        </is>
      </c>
      <c r="AG4" s="75" t="inlineStr">
        <is>
          <t>No medical aid recorded in this demo profile</t>
        </is>
      </c>
      <c r="AH4" s="75" t="inlineStr">
        <is>
          <t>Not applicable</t>
        </is>
      </c>
      <c r="AI4" s="93" t="n">
        <v>8120</v>
      </c>
      <c r="AJ4" s="93">
        <f>MIN(100,MAX(39.9,AI4*1%))</f>
        <v/>
      </c>
      <c r="AK4" s="93" t="n">
        <v>70</v>
      </c>
      <c r="AL4" s="93" t="n">
        <v>20</v>
      </c>
      <c r="AM4" s="93">
        <f>AJ4+AK4+AL4</f>
        <v/>
      </c>
      <c r="AN4" s="75" t="inlineStr">
        <is>
          <t>Matched — latest demo batch</t>
        </is>
      </c>
      <c r="AO4" s="75" t="inlineStr">
        <is>
          <t>DEMO-SACCOS-004</t>
        </is>
      </c>
      <c r="AP4" s="93" t="n">
        <v>7320</v>
      </c>
      <c r="AQ4" s="75" t="inlineStr">
        <is>
          <t>No active loan shown</t>
        </is>
      </c>
      <c r="AR4" s="93" t="n">
        <v>0</v>
      </c>
      <c r="AS4" s="75" t="inlineStr">
        <is>
          <t>Demo-Child MP A (Child, DOB 2015-03-11); Demo-Child MP B (Child, DOB 2018-08-29)</t>
        </is>
      </c>
      <c r="AT4" s="75" t="inlineStr">
        <is>
          <t>Not selected</t>
        </is>
      </c>
      <c r="AU4" s="75" t="inlineStr">
        <is>
          <t>Regular member</t>
        </is>
      </c>
      <c r="AV4" s="75" t="inlineStr">
        <is>
          <t>No grievance shown</t>
        </is>
      </c>
      <c r="AW4" s="75" t="inlineStr">
        <is>
          <t>Educational bursary / assistance (Under review — documents requested); Family funeral cover (Active demo); Building-material credit scheme (Quote / eligibility check); Member diagnostic savings (Eligibility details to confirm); Savings account (Active demo)</t>
        </is>
      </c>
      <c r="AX4" s="75" t="inlineStr">
        <is>
          <t>2026-10-25 06:51 (demo)</t>
        </is>
      </c>
      <c r="AY4" s="75" t="n">
        <v>92</v>
      </c>
      <c r="AZ4" s="75" t="inlineStr">
        <is>
          <t>A science teacher who uses the portal for family benefits, educational assistance and saving application documents between school days.</t>
        </is>
      </c>
    </row>
    <row r="5" ht="46" customHeight="1" s="53">
      <c r="A5" s="75" t="inlineStr">
        <is>
          <t>MEM-DEMO-005</t>
        </is>
      </c>
      <c r="B5" s="75" t="inlineStr">
        <is>
          <t>BOPEU Members — Female</t>
        </is>
      </c>
      <c r="C5" s="75" t="inlineStr">
        <is>
          <t>Siyanda Kefitlile</t>
        </is>
      </c>
      <c r="D5" s="75" t="inlineStr">
        <is>
          <t>Siyanda Keneilwe Kefitlile (fictional demo identity)</t>
        </is>
      </c>
      <c r="E5" s="75" t="n">
        <v>29</v>
      </c>
      <c r="F5" s="75" t="inlineStr">
        <is>
          <t>1997-08-21</t>
        </is>
      </c>
      <c r="G5" s="75" t="inlineStr">
        <is>
          <t>Female</t>
        </is>
      </c>
      <c r="H5" s="75" t="inlineStr">
        <is>
          <t>Active</t>
        </is>
      </c>
      <c r="I5" s="75" t="inlineStr">
        <is>
          <t>BOPEU-DEMO-F-005</t>
        </is>
      </c>
      <c r="J5" s="75" t="inlineStr">
        <is>
          <t>Active — demo verified</t>
        </is>
      </c>
      <c r="K5" s="75" t="inlineStr">
        <is>
          <t>2022-11-02</t>
        </is>
      </c>
      <c r="L5" s="75" t="inlineStr">
        <is>
          <t>DEMO-CARD-SK-005-3A77 [DISPLAY ONLY]</t>
        </is>
      </c>
      <c r="M5" s="75" t="inlineStr">
        <is>
          <t>DEMO-OMANG-005 [NOT A REAL OMANG]</t>
        </is>
      </c>
      <c r="N5" s="75" t="inlineStr">
        <is>
          <t>District Administration — Ghanzi</t>
        </is>
      </c>
      <c r="O5" s="75" t="inlineStr">
        <is>
          <t>Ministry for State President, Defence and Security — District Administration (parent label should be confirmed with HR)</t>
        </is>
      </c>
      <c r="P5" s="75" t="inlineStr">
        <is>
          <t>Ghanzi District Administration Office, Ghanzi</t>
        </is>
      </c>
      <c r="Q5" s="75" t="inlineStr">
        <is>
          <t>Ghanzi</t>
        </is>
      </c>
      <c r="R5" s="75" t="inlineStr">
        <is>
          <t>Ghanzi / North-West</t>
        </is>
      </c>
      <c r="S5" s="75" t="inlineStr">
        <is>
          <t>Administration Officer</t>
        </is>
      </c>
      <c r="T5" s="75" t="inlineStr">
        <is>
          <t>B1 (illustrative demo grade; not an official grade mapping)</t>
        </is>
      </c>
      <c r="U5" s="75" t="n">
        <v>5</v>
      </c>
      <c r="V5" s="75" t="inlineStr">
        <is>
          <t>Ghanzi / Ghanzi Village / Central / DEMO-PLOT-105 [SYNTHETIC]</t>
        </is>
      </c>
      <c r="W5" s="75" t="inlineStr">
        <is>
          <t>ORANGE</t>
        </is>
      </c>
      <c r="X5" s="75" t="inlineStr">
        <is>
          <t>+267 7X XXX 105 [DEMO — NOT ROUTABLE]</t>
        </is>
      </c>
      <c r="Y5" s="75" t="inlineStr">
        <is>
          <t>+267 7X XXX 105 [DEMO — NOT ROUTABLE]</t>
        </is>
      </c>
      <c r="Z5" s="75" t="b">
        <v>1</v>
      </c>
      <c r="AA5" s="75" t="inlineStr">
        <is>
          <t>Not supplied</t>
        </is>
      </c>
      <c r="AB5" s="75" t="inlineStr">
        <is>
          <t>Not supplied</t>
        </is>
      </c>
      <c r="AC5" s="75" t="inlineStr">
        <is>
          <t>Orange Money</t>
        </is>
      </c>
      <c r="AD5" s="75" t="inlineStr">
        <is>
          <t>DEMO-WALLET-105</t>
        </is>
      </c>
      <c r="AE5" s="75" t="inlineStr">
        <is>
          <t>DEMO-BANK-ACCOUNT-105</t>
        </is>
      </c>
      <c r="AF5" s="75" t="inlineStr">
        <is>
          <t>facebook: @demo.siyanda.k; x: @demo_siyandakk; instagram: @demo.siyandak; tiktok: @demo.siyanda</t>
        </is>
      </c>
      <c r="AG5" s="75" t="inlineStr">
        <is>
          <t>Not recorded</t>
        </is>
      </c>
      <c r="AH5" s="75" t="inlineStr">
        <is>
          <t>Not applicable</t>
        </is>
      </c>
      <c r="AI5" s="93" t="n">
        <v>5280</v>
      </c>
      <c r="AJ5" s="93">
        <f>MIN(100,MAX(39.9,AI5*1%))</f>
        <v/>
      </c>
      <c r="AK5" s="93" t="n">
        <v>70</v>
      </c>
      <c r="AL5" s="93" t="n">
        <v>20</v>
      </c>
      <c r="AM5" s="93">
        <f>AJ5+AK5+AL5</f>
        <v/>
      </c>
      <c r="AN5" s="75" t="inlineStr">
        <is>
          <t>Matched — latest demo batch</t>
        </is>
      </c>
      <c r="AO5" s="75" t="inlineStr">
        <is>
          <t>DEMO-SACCOS-005</t>
        </is>
      </c>
      <c r="AP5" s="93" t="n">
        <v>3760</v>
      </c>
      <c r="AQ5" s="75" t="inlineStr">
        <is>
          <t>Eligibility check requested</t>
        </is>
      </c>
      <c r="AR5" s="93" t="n">
        <v>0</v>
      </c>
      <c r="AS5" s="75" t="inlineStr">
        <is>
          <t>Demo-Child SK (Child, DOB 2020-01-09)</t>
        </is>
      </c>
      <c r="AT5" s="75" t="inlineStr">
        <is>
          <t>Demo-Mother SK (Mother, age 63, Tier B — illustrative only, sample P45.00)</t>
        </is>
      </c>
      <c r="AU5" s="75" t="inlineStr">
        <is>
          <t>Regional Shop Steward</t>
        </is>
      </c>
      <c r="AV5" s="75" t="inlineStr">
        <is>
          <t>DEMO-GRV-2026-038 — Shop steward follow-up</t>
        </is>
      </c>
      <c r="AW5" s="75" t="inlineStr">
        <is>
          <t>Airtime or mobile plan scheme (Interest registered — current terms to confirm); Wellness service information (Service information saved — discount unconfirmed); Family funeral cover (Active demo); Savings account (Active demo); Micro-loan enquiry (Eligibility check requested)</t>
        </is>
      </c>
      <c r="AX5" s="75" t="inlineStr">
        <is>
          <t>2026-10-25 08:04 (demo)</t>
        </is>
      </c>
      <c r="AY5" s="75" t="n">
        <v>83</v>
      </c>
      <c r="AZ5" s="75" t="inlineStr">
        <is>
          <t>A younger district administration officer who also serves as a local shop steward, helping members start with a local escalation before national referral.</t>
        </is>
      </c>
    </row>
    <row r="6" ht="46" customHeight="1" s="53">
      <c r="A6" s="79" t="inlineStr">
        <is>
          <t>MEM-DEMO-006</t>
        </is>
      </c>
      <c r="B6" s="79" t="inlineStr">
        <is>
          <t>BOPEU Members — Female</t>
        </is>
      </c>
      <c r="C6" s="79" t="inlineStr">
        <is>
          <t>Patricia Kgaope</t>
        </is>
      </c>
      <c r="D6" s="79" t="inlineStr">
        <is>
          <t>Patricia Naledi Kgaope (fictional demo identity)</t>
        </is>
      </c>
      <c r="E6" s="79" t="n">
        <v>46</v>
      </c>
      <c r="F6" s="79" t="inlineStr">
        <is>
          <t>1980-01-30</t>
        </is>
      </c>
      <c r="G6" s="79" t="inlineStr">
        <is>
          <t>Female</t>
        </is>
      </c>
      <c r="H6" s="79" t="inlineStr">
        <is>
          <t>Active</t>
        </is>
      </c>
      <c r="I6" s="79" t="inlineStr">
        <is>
          <t>BOPEU-DEMO-F-006</t>
        </is>
      </c>
      <c r="J6" s="79" t="inlineStr">
        <is>
          <t>Active — demo verified</t>
        </is>
      </c>
      <c r="K6" s="79" t="inlineStr">
        <is>
          <t>2011-05-16</t>
        </is>
      </c>
      <c r="L6" s="79" t="inlineStr">
        <is>
          <t>DEMO-CARD-PK-006-8E52 [DISPLAY ONLY]</t>
        </is>
      </c>
      <c r="M6" s="79" t="inlineStr">
        <is>
          <t>DEMO-OMANG-006 [NOT A REAL OMANG]</t>
        </is>
      </c>
      <c r="N6" s="79" t="inlineStr">
        <is>
          <t>Ministry of Transport and Infrastructure — Department of Road Transport and Safety</t>
        </is>
      </c>
      <c r="O6" s="79" t="inlineStr">
        <is>
          <t>Government of Botswana</t>
        </is>
      </c>
      <c r="P6" s="79" t="inlineStr">
        <is>
          <t>Department of Road Transport and Safety, Kanye licensing office</t>
        </is>
      </c>
      <c r="Q6" s="79" t="inlineStr">
        <is>
          <t>Kanye</t>
        </is>
      </c>
      <c r="R6" s="79" t="inlineStr">
        <is>
          <t>Southern</t>
        </is>
      </c>
      <c r="S6" s="79" t="inlineStr">
        <is>
          <t>Principal Licensing Officer</t>
        </is>
      </c>
      <c r="T6" s="79" t="inlineStr">
        <is>
          <t>D1 (illustrative demo grade; not an official grade mapping)</t>
        </is>
      </c>
      <c r="U6" s="79" t="n">
        <v>18</v>
      </c>
      <c r="V6" s="79" t="inlineStr">
        <is>
          <t>Kanye / Kanye Main Village / DEMO-PLOT-106 [SYNTHETIC]</t>
        </is>
      </c>
      <c r="W6" s="79" t="inlineStr">
        <is>
          <t>MASCOM</t>
        </is>
      </c>
      <c r="X6" s="79" t="inlineStr">
        <is>
          <t>+267 7X XXX 106 [DEMO — NOT ROUTABLE]</t>
        </is>
      </c>
      <c r="Y6" s="79" t="inlineStr">
        <is>
          <t>+267 7X XXX 106 [DEMO — NOT ROUTABLE]</t>
        </is>
      </c>
      <c r="Z6" s="79" t="b">
        <v>1</v>
      </c>
      <c r="AA6" s="79" t="inlineStr">
        <is>
          <t>Not supplied</t>
        </is>
      </c>
      <c r="AB6" s="79" t="inlineStr">
        <is>
          <t>Not supplied</t>
        </is>
      </c>
      <c r="AC6" s="79" t="inlineStr">
        <is>
          <t>MyZaka</t>
        </is>
      </c>
      <c r="AD6" s="79" t="inlineStr">
        <is>
          <t>DEMO-WALLET-106</t>
        </is>
      </c>
      <c r="AE6" s="79" t="inlineStr">
        <is>
          <t>DEMO-BANK-ACCOUNT-106</t>
        </is>
      </c>
      <c r="AF6" s="79" t="inlineStr">
        <is>
          <t>facebook: https://example.invalid/demo.patricia.kgaope; x: Not supplied; instagram: @demo.patriciak; tiktok: Not supplied</t>
        </is>
      </c>
      <c r="AG6" s="79" t="inlineStr">
        <is>
          <t>BPOMAS</t>
        </is>
      </c>
      <c r="AH6" s="79" t="inlineStr">
        <is>
          <t>DEMO-MED-SCHEME-006 [MASKED PLACEHOLDER]</t>
        </is>
      </c>
      <c r="AI6" s="94" t="n">
        <v>10750</v>
      </c>
      <c r="AJ6" s="94">
        <f>MIN(100,MAX(39.9,AI6*1%))</f>
        <v/>
      </c>
      <c r="AK6" s="94" t="n">
        <v>70</v>
      </c>
      <c r="AL6" s="94" t="n">
        <v>39.5</v>
      </c>
      <c r="AM6" s="94">
        <f>AJ6+AK6+AL6</f>
        <v/>
      </c>
      <c r="AN6" s="79" t="inlineStr">
        <is>
          <t>Matched — latest demo batch</t>
        </is>
      </c>
      <c r="AO6" s="79" t="inlineStr">
        <is>
          <t>DEMO-SACCOS-006</t>
        </is>
      </c>
      <c r="AP6" s="94" t="n">
        <v>13250</v>
      </c>
      <c r="AQ6" s="79" t="inlineStr">
        <is>
          <t>No active loan — prior demo loan closed</t>
        </is>
      </c>
      <c r="AR6" s="94" t="n">
        <v>0</v>
      </c>
      <c r="AS6" s="79" t="inlineStr">
        <is>
          <t>Demo-Spouse PK (Spouse, DOB 1978-09-19); Demo-Child PK (Child, DOB 2009-06-24)</t>
        </is>
      </c>
      <c r="AT6" s="79" t="inlineStr">
        <is>
          <t>Demo-Mother PK (Mother, age 74, Tier C — illustrative only, sample P90.00)</t>
        </is>
      </c>
      <c r="AU6" s="79" t="inlineStr">
        <is>
          <t>Regular member</t>
        </is>
      </c>
      <c r="AV6" s="79" t="inlineStr">
        <is>
          <t>DEMO-GRV-2026-029 — Resolved — breakdown issued</t>
        </is>
      </c>
      <c r="AW6" s="79" t="inlineStr">
        <is>
          <t>Savings account (Active demo); Family funeral cover (Active demo); Optional extended-family cover (Quote illustration); Motor insurance quote (Quote requested); Household contents cover (Quote requested); Medical-aid verification (Demo eligibility ping)</t>
        </is>
      </c>
      <c r="AX6" s="79" t="inlineStr">
        <is>
          <t>2026-10-23 17:26 (demo)</t>
        </is>
      </c>
      <c r="AY6" s="79" t="n">
        <v>98</v>
      </c>
      <c r="AZ6" s="79" t="inlineStr">
        <is>
          <t>A long-serving transport-service officer who uses the app to review policy information, follow quotations and keep payroll explanations on record.</t>
        </is>
      </c>
    </row>
    <row r="7">
      <c r="AI7" s="95" t="n"/>
      <c r="AJ7" s="95" t="n"/>
      <c r="AK7" s="95" t="n"/>
      <c r="AL7" s="95" t="n"/>
      <c r="AM7" s="95" t="n"/>
      <c r="AP7" s="95" t="n"/>
      <c r="AR7" s="95" t="n"/>
    </row>
    <row r="8">
      <c r="AI8" s="95" t="n"/>
      <c r="AJ8" s="95" t="n"/>
      <c r="AK8" s="95" t="n"/>
      <c r="AL8" s="95" t="n"/>
      <c r="AM8" s="95" t="n"/>
      <c r="AP8" s="95" t="n"/>
      <c r="AR8" s="95" t="n"/>
    </row>
    <row r="9">
      <c r="AI9" s="95" t="n"/>
      <c r="AJ9" s="95" t="n"/>
      <c r="AK9" s="95" t="n"/>
      <c r="AL9" s="95" t="n"/>
      <c r="AM9" s="95" t="n"/>
      <c r="AP9" s="95" t="n"/>
      <c r="AR9" s="95" t="n"/>
    </row>
    <row r="10">
      <c r="AI10" s="95" t="n"/>
      <c r="AJ10" s="95" t="n"/>
      <c r="AK10" s="95" t="n"/>
      <c r="AL10" s="95" t="n"/>
      <c r="AM10" s="95" t="n"/>
      <c r="AP10" s="95" t="n"/>
      <c r="AR10" s="95" t="n"/>
    </row>
  </sheetData>
  <mergeCells count="2">
    <mergeCell ref="A2:AZ2"/>
    <mergeCell ref="A1:AZ1"/>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Z35"/>
  <sheetViews>
    <sheetView workbookViewId="0">
      <pane ySplit="3" topLeftCell="A4" activePane="bottomLeft" state="frozen"/>
      <selection activeCell="A1" sqref="A1"/>
    </sheetView>
  </sheetViews>
  <sheetFormatPr baseColWidth="8" defaultRowHeight="15"/>
  <cols>
    <col width="24" customWidth="1" style="53" min="1" max="1"/>
    <col width="24" customWidth="1" style="53" min="2" max="2"/>
    <col width="24" customWidth="1" style="53" min="3" max="3"/>
    <col width="24" customWidth="1" style="53" min="4" max="4"/>
    <col width="24" customWidth="1" style="53" min="5" max="5"/>
    <col width="30" customWidth="1" style="53" min="6" max="6"/>
    <col width="28" customWidth="1" style="53" min="7" max="7"/>
    <col width="24" customWidth="1" style="53" min="8" max="8"/>
    <col width="24" customWidth="1" style="53" min="9" max="9"/>
    <col width="24" customWidth="1" style="53" min="10" max="10"/>
    <col width="24" customWidth="1" style="53" min="11" max="11"/>
    <col width="58" customWidth="1" style="53" min="12" max="12"/>
    <col width="40" customWidth="1" style="53" min="13" max="13"/>
  </cols>
  <sheetData>
    <row r="1" ht="30" customHeight="1" s="53">
      <c r="A1" s="83" t="inlineStr">
        <is>
          <t>MEMBER BENEFIT SELECTIONS &amp; APPLICATION STATES</t>
        </is>
      </c>
      <c r="B1" s="55" t="n"/>
      <c r="C1" s="55" t="n"/>
      <c r="D1" s="55" t="n"/>
      <c r="E1" s="55" t="n"/>
      <c r="F1" s="55" t="n"/>
      <c r="G1" s="55" t="n"/>
      <c r="H1" s="55" t="n"/>
      <c r="I1" s="55" t="n"/>
      <c r="J1" s="55" t="n"/>
      <c r="K1" s="55" t="n"/>
      <c r="L1" s="55" t="n"/>
      <c r="M1" s="55" t="n"/>
    </row>
    <row r="2" ht="34" customHeight="1" s="53">
      <c r="A2" s="54" t="inlineStr">
        <is>
          <t>One row per selected benefit. Amounts in this sheet are synthetic demo amounts only; blank means no numeric value should be inferred.</t>
        </is>
      </c>
      <c r="B2" s="55" t="n"/>
      <c r="C2" s="55" t="n"/>
      <c r="D2" s="55" t="n"/>
      <c r="E2" s="55" t="n"/>
      <c r="F2" s="55" t="n"/>
      <c r="G2" s="55" t="n"/>
      <c r="H2" s="55" t="n"/>
      <c r="I2" s="55" t="n"/>
      <c r="J2" s="55" t="n"/>
      <c r="K2" s="55" t="n"/>
      <c r="L2" s="55" t="n"/>
      <c r="M2" s="55" t="n"/>
    </row>
    <row r="3" ht="42" customHeight="1" s="53">
      <c r="A3" s="60" t="inlineStr">
        <is>
          <t>Benefit ID</t>
        </is>
      </c>
      <c r="B3" s="60" t="inlineStr">
        <is>
          <t>Member Record ID</t>
        </is>
      </c>
      <c r="C3" s="60" t="inlineStr">
        <is>
          <t>Member Display Name</t>
        </is>
      </c>
      <c r="D3" s="60" t="inlineStr">
        <is>
          <t>Member Group</t>
        </is>
      </c>
      <c r="E3" s="60" t="inlineStr">
        <is>
          <t>Category</t>
        </is>
      </c>
      <c r="F3" s="60" t="inlineStr">
        <is>
          <t>Partner / Provider</t>
        </is>
      </c>
      <c r="G3" s="60" t="inlineStr">
        <is>
          <t>Selected Benefit</t>
        </is>
      </c>
      <c r="H3" s="60" t="inlineStr">
        <is>
          <t>Status</t>
        </is>
      </c>
      <c r="I3" s="60" t="inlineStr">
        <is>
          <t>Demo Reference</t>
        </is>
      </c>
      <c r="J3" s="60" t="inlineStr">
        <is>
          <t>Demo Amount / Balance (BWP)</t>
        </is>
      </c>
      <c r="K3" s="60" t="inlineStr">
        <is>
          <t>Next Step / Owner</t>
        </is>
      </c>
      <c r="L3" s="60" t="inlineStr">
        <is>
          <t>Details and Terms Note</t>
        </is>
      </c>
      <c r="M3" s="60" t="inlineStr">
        <is>
          <t>Privacy / Verification Note</t>
        </is>
      </c>
      <c r="N3" s="90" t="n"/>
      <c r="O3" s="90" t="n"/>
      <c r="P3" s="90" t="n"/>
      <c r="Q3" s="90" t="n"/>
      <c r="R3" s="90" t="n"/>
      <c r="S3" s="90" t="n"/>
      <c r="T3" s="90" t="n"/>
      <c r="U3" s="90" t="n"/>
      <c r="V3" s="90" t="n"/>
      <c r="W3" s="90" t="n"/>
      <c r="X3" s="90" t="n"/>
      <c r="Y3" s="90" t="n"/>
      <c r="Z3" s="90" t="n"/>
      <c r="AA3" s="90" t="n"/>
      <c r="AB3" s="90" t="n"/>
      <c r="AC3" s="90" t="n"/>
      <c r="AD3" s="90" t="n"/>
      <c r="AE3" s="90" t="n"/>
      <c r="AF3" s="90" t="n"/>
      <c r="AG3" s="90" t="n"/>
      <c r="AH3" s="90" t="n"/>
      <c r="AI3" s="90" t="n"/>
      <c r="AJ3" s="90" t="n"/>
      <c r="AK3" s="90" t="n"/>
      <c r="AL3" s="90" t="n"/>
      <c r="AM3" s="90" t="n"/>
      <c r="AN3" s="90" t="n"/>
      <c r="AO3" s="90" t="n"/>
      <c r="AP3" s="90" t="n"/>
      <c r="AQ3" s="90" t="n"/>
      <c r="AR3" s="90" t="n"/>
      <c r="AS3" s="90" t="n"/>
      <c r="AT3" s="90" t="n"/>
      <c r="AU3" s="90" t="n"/>
      <c r="AV3" s="90" t="n"/>
      <c r="AW3" s="90" t="n"/>
      <c r="AX3" s="90" t="n"/>
      <c r="AY3" s="90" t="n"/>
      <c r="AZ3" s="90" t="n"/>
    </row>
    <row r="4" ht="46" customHeight="1" s="53">
      <c r="A4" s="75" t="inlineStr">
        <is>
          <t>BEN-SACCOS-JM</t>
        </is>
      </c>
      <c r="B4" s="75" t="inlineStr">
        <is>
          <t>MEM-DEMO-001</t>
        </is>
      </c>
      <c r="C4" s="75" t="inlineStr">
        <is>
          <t>Jackson Michaels</t>
        </is>
      </c>
      <c r="D4" s="75" t="inlineStr">
        <is>
          <t>BOPEU Members — Male</t>
        </is>
      </c>
      <c r="E4" s="75" t="inlineStr">
        <is>
          <t>Finance &amp; Savings</t>
        </is>
      </c>
      <c r="F4" s="75" t="inlineStr">
        <is>
          <t>Babereki SACCOS</t>
        </is>
      </c>
      <c r="G4" s="75" t="inlineStr">
        <is>
          <t>Monthly savings account</t>
        </is>
      </c>
      <c r="H4" s="75" t="inlineStr">
        <is>
          <t>Active demo</t>
        </is>
      </c>
      <c r="I4" s="75" t="inlineStr">
        <is>
          <t>DEMO-SACCOS-001</t>
        </is>
      </c>
      <c r="J4" s="93" t="n">
        <v>18450</v>
      </c>
      <c r="K4" s="75" t="inlineStr">
        <is>
          <t>Display current status and next payment/date if relevant</t>
        </is>
      </c>
      <c r="L4" s="75" t="inlineStr">
        <is>
          <t>P650 monthly savings contribution; displayed savings balance P18,450.</t>
        </is>
      </c>
      <c r="M4" s="75" t="inlineStr">
        <is>
          <t>Only member-authorised financial workflow; role-limited</t>
        </is>
      </c>
    </row>
    <row r="5" ht="46" customHeight="1" s="53">
      <c r="A5" s="75" t="inlineStr">
        <is>
          <t>BEN-LOAN-JM</t>
        </is>
      </c>
      <c r="B5" s="75" t="inlineStr">
        <is>
          <t>MEM-DEMO-001</t>
        </is>
      </c>
      <c r="C5" s="75" t="inlineStr">
        <is>
          <t>Jackson Michaels</t>
        </is>
      </c>
      <c r="D5" s="75" t="inlineStr">
        <is>
          <t>BOPEU Members — Male</t>
        </is>
      </c>
      <c r="E5" s="75" t="inlineStr">
        <is>
          <t>Finance &amp; Credit</t>
        </is>
      </c>
      <c r="F5" s="75" t="inlineStr">
        <is>
          <t>Babereki SACCOS</t>
        </is>
      </c>
      <c r="G5" s="75" t="inlineStr">
        <is>
          <t>Personal loan</t>
        </is>
      </c>
      <c r="H5" s="75" t="inlineStr">
        <is>
          <t>Active demo</t>
        </is>
      </c>
      <c r="I5" s="75" t="inlineStr">
        <is>
          <t>DEMO-LOAN-JM-01</t>
        </is>
      </c>
      <c r="J5" s="93" t="n">
        <v>18450</v>
      </c>
      <c r="K5" s="75" t="inlineStr">
        <is>
          <t>Display current status and next payment/date if relevant</t>
        </is>
      </c>
      <c r="L5" s="75" t="inlineStr">
        <is>
          <t>Illustrative balance P18,450; repayment P1,150/month; next due 1 Nov 2026.</t>
        </is>
      </c>
      <c r="M5" s="75" t="inlineStr">
        <is>
          <t>Only member-authorised financial workflow; role-limited</t>
        </is>
      </c>
    </row>
    <row r="6" ht="46" customHeight="1" s="53">
      <c r="A6" s="75" t="inlineStr">
        <is>
          <t>BEN-FUNERAL-JM</t>
        </is>
      </c>
      <c r="B6" s="75" t="inlineStr">
        <is>
          <t>MEM-DEMO-001</t>
        </is>
      </c>
      <c r="C6" s="75" t="inlineStr">
        <is>
          <t>Jackson Michaels</t>
        </is>
      </c>
      <c r="D6" s="75" t="inlineStr">
        <is>
          <t>BOPEU Members — Male</t>
        </is>
      </c>
      <c r="E6" s="75" t="inlineStr">
        <is>
          <t>Insurance &amp; Welfare</t>
        </is>
      </c>
      <c r="F6" s="75" t="inlineStr">
        <is>
          <t>Babereki / funeral scheme</t>
        </is>
      </c>
      <c r="G6" s="75" t="inlineStr">
        <is>
          <t>Compulsory family funeral cover</t>
        </is>
      </c>
      <c r="H6" s="75" t="inlineStr">
        <is>
          <t>Active demo</t>
        </is>
      </c>
      <c r="I6" s="75" t="inlineStr">
        <is>
          <t>DEMO-FUN-JM-01</t>
        </is>
      </c>
      <c r="J6" s="93" t="n"/>
      <c r="K6" s="75" t="inlineStr">
        <is>
          <t>Display current status and next payment/date if relevant</t>
        </is>
      </c>
      <c r="L6" s="75" t="inlineStr">
        <is>
          <t>Spouse and one child shown in coverage list. All dependent identities are synthetic.</t>
        </is>
      </c>
      <c r="M6" s="75" t="inlineStr">
        <is>
          <t>Assigned welfare/claims staff only; dependents masked outside the workflow</t>
        </is>
      </c>
    </row>
    <row r="7" ht="46" customHeight="1" s="53">
      <c r="A7" s="75" t="inlineStr">
        <is>
          <t>BEN-EXT-JM</t>
        </is>
      </c>
      <c r="B7" s="75" t="inlineStr">
        <is>
          <t>MEM-DEMO-001</t>
        </is>
      </c>
      <c r="C7" s="75" t="inlineStr">
        <is>
          <t>Jackson Michaels</t>
        </is>
      </c>
      <c r="D7" s="75" t="inlineStr">
        <is>
          <t>BOPEU Members — Male</t>
        </is>
      </c>
      <c r="E7" s="75" t="inlineStr">
        <is>
          <t>Insurance</t>
        </is>
      </c>
      <c r="F7" s="75" t="inlineStr">
        <is>
          <t>Babereki Insurance Services</t>
        </is>
      </c>
      <c r="G7" s="75" t="inlineStr">
        <is>
          <t>Optional extended-family cover</t>
        </is>
      </c>
      <c r="H7" s="75" t="inlineStr">
        <is>
          <t>Quote illustration</t>
        </is>
      </c>
      <c r="I7" s="75" t="inlineStr">
        <is>
          <t>DEMO-EXT-JM-01</t>
        </is>
      </c>
      <c r="J7" s="93" t="n"/>
      <c r="K7" s="75" t="inlineStr">
        <is>
          <t>Partner/service desk to respond; do not imply approval</t>
        </is>
      </c>
      <c r="L7" s="75" t="inlineStr">
        <is>
          <t>Mother shown at age 76, Tier C and sample premium P88/month; pricing is invented for demo and must not be published as an actual quote.</t>
        </is>
      </c>
      <c r="M7" s="75" t="inlineStr">
        <is>
          <t>Assigned welfare/claims staff only; dependents masked outside the workflow</t>
        </is>
      </c>
    </row>
    <row r="8" ht="46" customHeight="1" s="53">
      <c r="A8" s="75" t="inlineStr">
        <is>
          <t>BEN-DIAG-JM</t>
        </is>
      </c>
      <c r="B8" s="75" t="inlineStr">
        <is>
          <t>MEM-DEMO-001</t>
        </is>
      </c>
      <c r="C8" s="75" t="inlineStr">
        <is>
          <t>Jackson Michaels</t>
        </is>
      </c>
      <c r="D8" s="75" t="inlineStr">
        <is>
          <t>BOPEU Members — Male</t>
        </is>
      </c>
      <c r="E8" s="75" t="inlineStr">
        <is>
          <t>Health &amp; Wellness</t>
        </is>
      </c>
      <c r="F8" s="75" t="inlineStr">
        <is>
          <t>Diagnofirm</t>
        </is>
      </c>
      <c r="G8" s="75" t="inlineStr">
        <is>
          <t>Member eligibility / diagnostic savings</t>
        </is>
      </c>
      <c r="H8" s="75" t="inlineStr">
        <is>
          <t>Demo eligible response</t>
        </is>
      </c>
      <c r="I8" s="75" t="inlineStr">
        <is>
          <t>DEMO-VERIFY-JM-01</t>
        </is>
      </c>
      <c r="J8" s="93" t="n"/>
      <c r="K8" s="75" t="inlineStr">
        <is>
          <t>Review status and provide the next checklist item</t>
        </is>
      </c>
      <c r="L8" s="75" t="inlineStr">
        <is>
          <t>Partner reference describes no 10% patient share and up to 35% off for members without medical aid; eligibility and service terms must be confirmed at the partner.</t>
        </is>
      </c>
      <c r="M8" s="75" t="inlineStr">
        <is>
          <t>Eligibility response only; no clinical records</t>
        </is>
      </c>
    </row>
    <row r="9" ht="46" customHeight="1" s="53">
      <c r="A9" s="75" t="inlineStr">
        <is>
          <t>BEN-MOTOR-JM</t>
        </is>
      </c>
      <c r="B9" s="75" t="inlineStr">
        <is>
          <t>MEM-DEMO-001</t>
        </is>
      </c>
      <c r="C9" s="75" t="inlineStr">
        <is>
          <t>Jackson Michaels</t>
        </is>
      </c>
      <c r="D9" s="75" t="inlineStr">
        <is>
          <t>BOPEU Members — Male</t>
        </is>
      </c>
      <c r="E9" s="75" t="inlineStr">
        <is>
          <t>Insurance</t>
        </is>
      </c>
      <c r="F9" s="75" t="inlineStr">
        <is>
          <t>Babereki Insurance Services</t>
        </is>
      </c>
      <c r="G9" s="75" t="inlineStr">
        <is>
          <t>Motor insurance quote</t>
        </is>
      </c>
      <c r="H9" s="75" t="inlineStr">
        <is>
          <t>Quote requested</t>
        </is>
      </c>
      <c r="I9" s="75" t="inlineStr">
        <is>
          <t>DEMO-QUOTE-JM-01</t>
        </is>
      </c>
      <c r="J9" s="93" t="n"/>
      <c r="K9" s="75" t="inlineStr">
        <is>
          <t>Partner/service desk to respond; do not imply approval</t>
        </is>
      </c>
      <c r="L9" s="75" t="inlineStr">
        <is>
          <t>Vehicle details masked; quote and underwriting not completed.</t>
        </is>
      </c>
      <c r="M9" s="75" t="inlineStr">
        <is>
          <t>Assigned welfare/claims staff only; dependents masked outside the workflow</t>
        </is>
      </c>
    </row>
    <row r="10" ht="46" customHeight="1" s="53">
      <c r="A10" s="75" t="inlineStr">
        <is>
          <t>BEN-SACCOS-JD</t>
        </is>
      </c>
      <c r="B10" s="75" t="inlineStr">
        <is>
          <t>MEM-DEMO-002</t>
        </is>
      </c>
      <c r="C10" s="75" t="inlineStr">
        <is>
          <t>James Dudumang</t>
        </is>
      </c>
      <c r="D10" s="75" t="inlineStr">
        <is>
          <t>BOPEU Members — Male</t>
        </is>
      </c>
      <c r="E10" s="75" t="inlineStr">
        <is>
          <t>Finance &amp; Savings</t>
        </is>
      </c>
      <c r="F10" s="75" t="inlineStr">
        <is>
          <t>Babereki SACCOS</t>
        </is>
      </c>
      <c r="G10" s="75" t="inlineStr">
        <is>
          <t>Savings account</t>
        </is>
      </c>
      <c r="H10" s="75" t="inlineStr">
        <is>
          <t>Active demo</t>
        </is>
      </c>
      <c r="I10" s="75" t="inlineStr">
        <is>
          <t>DEMO-SACCOS-002</t>
        </is>
      </c>
      <c r="J10" s="93" t="n">
        <v>2850</v>
      </c>
      <c r="K10" s="75" t="inlineStr">
        <is>
          <t>Display current status and next payment/date if relevant</t>
        </is>
      </c>
      <c r="L10" s="75" t="inlineStr">
        <is>
          <t>P250 monthly contribution and P2,850 illustrative balance.</t>
        </is>
      </c>
      <c r="M10" s="75" t="inlineStr">
        <is>
          <t>Only member-authorised financial workflow; role-limited</t>
        </is>
      </c>
    </row>
    <row r="11" ht="46" customHeight="1" s="53">
      <c r="A11" s="75" t="inlineStr">
        <is>
          <t>BEN-FUNERAL-JD</t>
        </is>
      </c>
      <c r="B11" s="75" t="inlineStr">
        <is>
          <t>MEM-DEMO-002</t>
        </is>
      </c>
      <c r="C11" s="75" t="inlineStr">
        <is>
          <t>James Dudumang</t>
        </is>
      </c>
      <c r="D11" s="75" t="inlineStr">
        <is>
          <t>BOPEU Members — Male</t>
        </is>
      </c>
      <c r="E11" s="75" t="inlineStr">
        <is>
          <t>Insurance &amp; Welfare</t>
        </is>
      </c>
      <c r="F11" s="75" t="inlineStr">
        <is>
          <t>Babereki / funeral scheme</t>
        </is>
      </c>
      <c r="G11" s="75" t="inlineStr">
        <is>
          <t>Family funeral cover</t>
        </is>
      </c>
      <c r="H11" s="75" t="inlineStr">
        <is>
          <t>Active demo — review banner</t>
        </is>
      </c>
      <c r="I11" s="75" t="inlineStr">
        <is>
          <t>DEMO-FUN-JD-01</t>
        </is>
      </c>
      <c r="J11" s="93" t="n"/>
      <c r="K11" s="75" t="inlineStr">
        <is>
          <t>Display current status and next payment/date if relevant</t>
        </is>
      </c>
      <c r="L11" s="75" t="inlineStr">
        <is>
          <t>Spouse and two children listed; payroll/employer-code transfer is under review.</t>
        </is>
      </c>
      <c r="M11" s="75" t="inlineStr">
        <is>
          <t>Assigned welfare/claims staff only; dependents masked outside the workflow</t>
        </is>
      </c>
    </row>
    <row r="12" ht="46" customHeight="1" s="53">
      <c r="A12" s="75" t="inlineStr">
        <is>
          <t>BEN-ARCHEIN-JD</t>
        </is>
      </c>
      <c r="B12" s="75" t="inlineStr">
        <is>
          <t>MEM-DEMO-002</t>
        </is>
      </c>
      <c r="C12" s="75" t="inlineStr">
        <is>
          <t>James Dudumang</t>
        </is>
      </c>
      <c r="D12" s="75" t="inlineStr">
        <is>
          <t>BOPEU Members — Male</t>
        </is>
      </c>
      <c r="E12" s="75" t="inlineStr">
        <is>
          <t>Housing &amp; Building Materials</t>
        </is>
      </c>
      <c r="F12" s="75" t="inlineStr">
        <is>
          <t>Archein Hardware</t>
        </is>
      </c>
      <c r="G12" s="75" t="inlineStr">
        <is>
          <t>Building-material scheme</t>
        </is>
      </c>
      <c r="H12" s="75" t="inlineStr">
        <is>
          <t>Planning saved — not submitted</t>
        </is>
      </c>
      <c r="I12" s="75" t="inlineStr">
        <is>
          <t>DEMO-ARC-JD-01</t>
        </is>
      </c>
      <c r="J12" s="93" t="n">
        <v>42500</v>
      </c>
      <c r="K12" s="75" t="inlineStr">
        <is>
          <t>Review status and provide the next checklist item</t>
        </is>
      </c>
      <c r="L12" s="75" t="inlineStr">
        <is>
          <t>Member has saved a sample P42,500 materials list. Do not represent this as approved credit.</t>
        </is>
      </c>
      <c r="M12" s="75" t="inlineStr">
        <is>
          <t>Member-facing benefit details only; current terms should be verified</t>
        </is>
      </c>
    </row>
    <row r="13" ht="46" customHeight="1" s="53">
      <c r="A13" s="75" t="inlineStr">
        <is>
          <t>BEN-FCB-JD</t>
        </is>
      </c>
      <c r="B13" s="75" t="inlineStr">
        <is>
          <t>MEM-DEMO-002</t>
        </is>
      </c>
      <c r="C13" s="75" t="inlineStr">
        <is>
          <t>James Dudumang</t>
        </is>
      </c>
      <c r="D13" s="75" t="inlineStr">
        <is>
          <t>BOPEU Members — Male</t>
        </is>
      </c>
      <c r="E13" s="75" t="inlineStr">
        <is>
          <t>Finance &amp; Credit</t>
        </is>
      </c>
      <c r="F13" s="75" t="inlineStr">
        <is>
          <t>First Capital Bank / Babereki Investments</t>
        </is>
      </c>
      <c r="G13" s="75" t="inlineStr">
        <is>
          <t>Loan facility information request</t>
        </is>
      </c>
      <c r="H13" s="75" t="inlineStr">
        <is>
          <t>Pre-application draft</t>
        </is>
      </c>
      <c r="I13" s="75" t="inlineStr">
        <is>
          <t>DEMO-FCB-JD-01</t>
        </is>
      </c>
      <c r="J13" s="93" t="n"/>
      <c r="K13" s="75" t="inlineStr">
        <is>
          <t>Review status and provide the next checklist item</t>
        </is>
      </c>
      <c r="L13" s="75" t="inlineStr">
        <is>
          <t>Reference document describes up to P200,000 and up to 60 months for the facility; individual rates/eligibility must be confirmed.</t>
        </is>
      </c>
      <c r="M13" s="75" t="inlineStr">
        <is>
          <t>Only member-authorised financial workflow; role-limited</t>
        </is>
      </c>
    </row>
    <row r="14" ht="46" customHeight="1" s="53">
      <c r="A14" s="75" t="inlineStr">
        <is>
          <t>BEN-DIAG-JD</t>
        </is>
      </c>
      <c r="B14" s="75" t="inlineStr">
        <is>
          <t>MEM-DEMO-002</t>
        </is>
      </c>
      <c r="C14" s="75" t="inlineStr">
        <is>
          <t>James Dudumang</t>
        </is>
      </c>
      <c r="D14" s="75" t="inlineStr">
        <is>
          <t>BOPEU Members — Male</t>
        </is>
      </c>
      <c r="E14" s="75" t="inlineStr">
        <is>
          <t>Health &amp; Wellness</t>
        </is>
      </c>
      <c r="F14" s="75" t="inlineStr">
        <is>
          <t>Diagnofirm</t>
        </is>
      </c>
      <c r="G14" s="75" t="inlineStr">
        <is>
          <t>Medical-aid member verification</t>
        </is>
      </c>
      <c r="H14" s="75" t="inlineStr">
        <is>
          <t>Awaiting partner confirmation</t>
        </is>
      </c>
      <c r="I14" s="75" t="inlineStr">
        <is>
          <t>DEMO-VERIFY-JD-01</t>
        </is>
      </c>
      <c r="J14" s="93" t="n"/>
      <c r="K14" s="75" t="inlineStr">
        <is>
          <t>Assigned team to update status and request missing evidence if needed</t>
        </is>
      </c>
      <c r="L14" s="75" t="inlineStr">
        <is>
          <t>No clinical records displayed; partner portal sees only the eligibility response needed for the transaction.</t>
        </is>
      </c>
      <c r="M14" s="75" t="inlineStr">
        <is>
          <t>Eligibility response only; no clinical records</t>
        </is>
      </c>
    </row>
    <row r="15" ht="46" customHeight="1" s="53">
      <c r="A15" s="75" t="inlineStr">
        <is>
          <t>BEN-SACCOS-KM</t>
        </is>
      </c>
      <c r="B15" s="75" t="inlineStr">
        <is>
          <t>MEM-DEMO-003</t>
        </is>
      </c>
      <c r="C15" s="75" t="inlineStr">
        <is>
          <t>Kabelo Modise</t>
        </is>
      </c>
      <c r="D15" s="75" t="inlineStr">
        <is>
          <t>BOPEU Members — Male</t>
        </is>
      </c>
      <c r="E15" s="75" t="inlineStr">
        <is>
          <t>Finance &amp; Savings</t>
        </is>
      </c>
      <c r="F15" s="75" t="inlineStr">
        <is>
          <t>Babereki SACCOS</t>
        </is>
      </c>
      <c r="G15" s="75" t="inlineStr">
        <is>
          <t>Savings account</t>
        </is>
      </c>
      <c r="H15" s="75" t="inlineStr">
        <is>
          <t>Active demo</t>
        </is>
      </c>
      <c r="I15" s="75" t="inlineStr">
        <is>
          <t>DEMO-SACCOS-003</t>
        </is>
      </c>
      <c r="J15" s="93" t="n">
        <v>9240</v>
      </c>
      <c r="K15" s="75" t="inlineStr">
        <is>
          <t>Display current status and next payment/date if relevant</t>
        </is>
      </c>
      <c r="L15" s="75" t="inlineStr">
        <is>
          <t>P500 monthly savings contribution; illustrative savings balance P9,240.</t>
        </is>
      </c>
      <c r="M15" s="75" t="inlineStr">
        <is>
          <t>Only member-authorised financial workflow; role-limited</t>
        </is>
      </c>
    </row>
    <row r="16" ht="46" customHeight="1" s="53">
      <c r="A16" s="75" t="inlineStr">
        <is>
          <t>BEN-LOAN-KM</t>
        </is>
      </c>
      <c r="B16" s="75" t="inlineStr">
        <is>
          <t>MEM-DEMO-003</t>
        </is>
      </c>
      <c r="C16" s="75" t="inlineStr">
        <is>
          <t>Kabelo Modise</t>
        </is>
      </c>
      <c r="D16" s="75" t="inlineStr">
        <is>
          <t>BOPEU Members — Male</t>
        </is>
      </c>
      <c r="E16" s="75" t="inlineStr">
        <is>
          <t>Finance &amp; Credit</t>
        </is>
      </c>
      <c r="F16" s="75" t="inlineStr">
        <is>
          <t>Babereki SACCOS</t>
        </is>
      </c>
      <c r="G16" s="75" t="inlineStr">
        <is>
          <t>Micro-loan</t>
        </is>
      </c>
      <c r="H16" s="75" t="inlineStr">
        <is>
          <t>Active demo</t>
        </is>
      </c>
      <c r="I16" s="75" t="inlineStr">
        <is>
          <t>DEMO-LOAN-KM-01</t>
        </is>
      </c>
      <c r="J16" s="93" t="n">
        <v>9200</v>
      </c>
      <c r="K16" s="75" t="inlineStr">
        <is>
          <t>Display current status and next payment/date if relevant</t>
        </is>
      </c>
      <c r="L16" s="75" t="inlineStr">
        <is>
          <t>Illustrative balance P9,200; monthly repayment P920.</t>
        </is>
      </c>
      <c r="M16" s="75" t="inlineStr">
        <is>
          <t>Only member-authorised financial workflow; role-limited</t>
        </is>
      </c>
    </row>
    <row r="17" ht="46" customHeight="1" s="53">
      <c r="A17" s="75" t="inlineStr">
        <is>
          <t>BEN-FUNERAL-KM</t>
        </is>
      </c>
      <c r="B17" s="75" t="inlineStr">
        <is>
          <t>MEM-DEMO-003</t>
        </is>
      </c>
      <c r="C17" s="75" t="inlineStr">
        <is>
          <t>Kabelo Modise</t>
        </is>
      </c>
      <c r="D17" s="75" t="inlineStr">
        <is>
          <t>BOPEU Members — Male</t>
        </is>
      </c>
      <c r="E17" s="75" t="inlineStr">
        <is>
          <t>Insurance &amp; Welfare</t>
        </is>
      </c>
      <c r="F17" s="75" t="inlineStr">
        <is>
          <t>Babereki / funeral scheme</t>
        </is>
      </c>
      <c r="G17" s="75" t="inlineStr">
        <is>
          <t>Family funeral cover</t>
        </is>
      </c>
      <c r="H17" s="75" t="inlineStr">
        <is>
          <t>Active demo</t>
        </is>
      </c>
      <c r="I17" s="75" t="inlineStr">
        <is>
          <t>DEMO-FUN-KM-01</t>
        </is>
      </c>
      <c r="J17" s="93" t="n"/>
      <c r="K17" s="75" t="inlineStr">
        <is>
          <t>Display current status and next payment/date if relevant</t>
        </is>
      </c>
      <c r="L17" s="75" t="inlineStr">
        <is>
          <t>Spouse and two children listed.</t>
        </is>
      </c>
      <c r="M17" s="75" t="inlineStr">
        <is>
          <t>Assigned welfare/claims staff only; dependents masked outside the workflow</t>
        </is>
      </c>
    </row>
    <row r="18" ht="46" customHeight="1" s="53">
      <c r="A18" s="75" t="inlineStr">
        <is>
          <t>BEN-MOTOR-KM</t>
        </is>
      </c>
      <c r="B18" s="75" t="inlineStr">
        <is>
          <t>MEM-DEMO-003</t>
        </is>
      </c>
      <c r="C18" s="75" t="inlineStr">
        <is>
          <t>Kabelo Modise</t>
        </is>
      </c>
      <c r="D18" s="75" t="inlineStr">
        <is>
          <t>BOPEU Members — Male</t>
        </is>
      </c>
      <c r="E18" s="75" t="inlineStr">
        <is>
          <t>Insurance</t>
        </is>
      </c>
      <c r="F18" s="75" t="inlineStr">
        <is>
          <t>Babereki Insurance Services</t>
        </is>
      </c>
      <c r="G18" s="75" t="inlineStr">
        <is>
          <t>Motor insurance quote</t>
        </is>
      </c>
      <c r="H18" s="75" t="inlineStr">
        <is>
          <t>Quote requested</t>
        </is>
      </c>
      <c r="I18" s="75" t="inlineStr">
        <is>
          <t>DEMO-QUOTE-KM-01</t>
        </is>
      </c>
      <c r="J18" s="93" t="n"/>
      <c r="K18" s="75" t="inlineStr">
        <is>
          <t>Partner/service desk to respond; do not imply approval</t>
        </is>
      </c>
      <c r="L18" s="75" t="inlineStr">
        <is>
          <t>Awaiting underwriting and quote.</t>
        </is>
      </c>
      <c r="M18" s="75" t="inlineStr">
        <is>
          <t>Assigned welfare/claims staff only; dependents masked outside the workflow</t>
        </is>
      </c>
    </row>
    <row r="19" ht="46" customHeight="1" s="53">
      <c r="A19" s="75" t="inlineStr">
        <is>
          <t>BEN-DIAG-KM</t>
        </is>
      </c>
      <c r="B19" s="75" t="inlineStr">
        <is>
          <t>MEM-DEMO-003</t>
        </is>
      </c>
      <c r="C19" s="75" t="inlineStr">
        <is>
          <t>Kabelo Modise</t>
        </is>
      </c>
      <c r="D19" s="75" t="inlineStr">
        <is>
          <t>BOPEU Members — Male</t>
        </is>
      </c>
      <c r="E19" s="75" t="inlineStr">
        <is>
          <t>Health &amp; Wellness</t>
        </is>
      </c>
      <c r="F19" s="75" t="inlineStr">
        <is>
          <t>Diagnofirm</t>
        </is>
      </c>
      <c r="G19" s="75" t="inlineStr">
        <is>
          <t>Member health-service savings</t>
        </is>
      </c>
      <c r="H19" s="75" t="inlineStr">
        <is>
          <t>Offer details to confirm</t>
        </is>
      </c>
      <c r="I19" s="75" t="inlineStr">
        <is>
          <t>DEMO-DIAG-KM-01</t>
        </is>
      </c>
      <c r="J19" s="93" t="n"/>
      <c r="K19" s="75" t="inlineStr">
        <is>
          <t>Review status and provide the next checklist item</t>
        </is>
      </c>
      <c r="L19" s="75" t="inlineStr">
        <is>
          <t>Reference notes up to 35% off for members without medical aid; do not promise the maximum or assume every test qualifies.</t>
        </is>
      </c>
      <c r="M19" s="75" t="inlineStr">
        <is>
          <t>Eligibility response only; no clinical records</t>
        </is>
      </c>
    </row>
    <row r="20" ht="46" customHeight="1" s="53">
      <c r="A20" s="75" t="inlineStr">
        <is>
          <t>BEN-BURSARY-MP</t>
        </is>
      </c>
      <c r="B20" s="75" t="inlineStr">
        <is>
          <t>MEM-DEMO-004</t>
        </is>
      </c>
      <c r="C20" s="75" t="inlineStr">
        <is>
          <t>Mercy Peters</t>
        </is>
      </c>
      <c r="D20" s="75" t="inlineStr">
        <is>
          <t>BOPEU Members — Female</t>
        </is>
      </c>
      <c r="E20" s="75" t="inlineStr">
        <is>
          <t>Education &amp; Welfare</t>
        </is>
      </c>
      <c r="F20" s="75" t="inlineStr">
        <is>
          <t>BOPEU / Educational Bursary Scheme</t>
        </is>
      </c>
      <c r="G20" s="75" t="inlineStr">
        <is>
          <t>Educational bursary / assistance</t>
        </is>
      </c>
      <c r="H20" s="75" t="inlineStr">
        <is>
          <t>Under review — documents requested</t>
        </is>
      </c>
      <c r="I20" s="75" t="inlineStr">
        <is>
          <t>DEMO-BUR-2026-018</t>
        </is>
      </c>
      <c r="J20" s="93" t="n">
        <v>18500</v>
      </c>
      <c r="K20" s="75" t="inlineStr">
        <is>
          <t>Assigned team to update status and request missing evidence if needed</t>
        </is>
      </c>
      <c r="L20" s="75" t="inlineStr">
        <is>
          <t>Requested P18,500 for tuition, accommodation and study books. Reference material notes up to P30,000 and up to 24 months, subject to active membership for at least six months and ability to repay.</t>
        </is>
      </c>
      <c r="M20" s="75" t="inlineStr">
        <is>
          <t>Member-facing benefit details only; current terms should be verified</t>
        </is>
      </c>
    </row>
    <row r="21" ht="46" customHeight="1" s="53">
      <c r="A21" s="75" t="inlineStr">
        <is>
          <t>BEN-FUNERAL-MP</t>
        </is>
      </c>
      <c r="B21" s="75" t="inlineStr">
        <is>
          <t>MEM-DEMO-004</t>
        </is>
      </c>
      <c r="C21" s="75" t="inlineStr">
        <is>
          <t>Mercy Peters</t>
        </is>
      </c>
      <c r="D21" s="75" t="inlineStr">
        <is>
          <t>BOPEU Members — Female</t>
        </is>
      </c>
      <c r="E21" s="75" t="inlineStr">
        <is>
          <t>Insurance &amp; Welfare</t>
        </is>
      </c>
      <c r="F21" s="75" t="inlineStr">
        <is>
          <t>Babereki / funeral scheme</t>
        </is>
      </c>
      <c r="G21" s="75" t="inlineStr">
        <is>
          <t>Family funeral cover</t>
        </is>
      </c>
      <c r="H21" s="75" t="inlineStr">
        <is>
          <t>Active demo</t>
        </is>
      </c>
      <c r="I21" s="75" t="inlineStr">
        <is>
          <t>DEMO-FUN-MP-01</t>
        </is>
      </c>
      <c r="J21" s="93" t="n"/>
      <c r="K21" s="75" t="inlineStr">
        <is>
          <t>Display current status and next payment/date if relevant</t>
        </is>
      </c>
      <c r="L21" s="75" t="inlineStr">
        <is>
          <t>Two children listed; dependent names and identifiers are synthetic.</t>
        </is>
      </c>
      <c r="M21" s="75" t="inlineStr">
        <is>
          <t>Assigned welfare/claims staff only; dependents masked outside the workflow</t>
        </is>
      </c>
    </row>
    <row r="22" ht="46" customHeight="1" s="53">
      <c r="A22" s="75" t="inlineStr">
        <is>
          <t>BEN-ARCHEIN-MP</t>
        </is>
      </c>
      <c r="B22" s="75" t="inlineStr">
        <is>
          <t>MEM-DEMO-004</t>
        </is>
      </c>
      <c r="C22" s="75" t="inlineStr">
        <is>
          <t>Mercy Peters</t>
        </is>
      </c>
      <c r="D22" s="75" t="inlineStr">
        <is>
          <t>BOPEU Members — Female</t>
        </is>
      </c>
      <c r="E22" s="75" t="inlineStr">
        <is>
          <t>Housing &amp; Building Materials</t>
        </is>
      </c>
      <c r="F22" s="75" t="inlineStr">
        <is>
          <t>Archein Hardware</t>
        </is>
      </c>
      <c r="G22" s="75" t="inlineStr">
        <is>
          <t>Building-material credit scheme</t>
        </is>
      </c>
      <c r="H22" s="75" t="inlineStr">
        <is>
          <t>Quote / eligibility check</t>
        </is>
      </c>
      <c r="I22" s="75" t="inlineStr">
        <is>
          <t>DEMO-ARC-MP-01</t>
        </is>
      </c>
      <c r="J22" s="93" t="n">
        <v>64800</v>
      </c>
      <c r="K22" s="75" t="inlineStr">
        <is>
          <t>Partner/service desk to respond; do not imply approval</t>
        </is>
      </c>
      <c r="L22" s="75" t="inlineStr">
        <is>
          <t>Illustrative materials basket P64,800; scheme reference says up to P200,000, 4% monthly interest on reducing balance and up to 36 months. Approval is not implied.</t>
        </is>
      </c>
      <c r="M22" s="75" t="inlineStr">
        <is>
          <t>Member-facing benefit details only; current terms should be verified</t>
        </is>
      </c>
    </row>
    <row r="23" ht="46" customHeight="1" s="53">
      <c r="A23" s="75" t="inlineStr">
        <is>
          <t>BEN-DIAG-MP</t>
        </is>
      </c>
      <c r="B23" s="75" t="inlineStr">
        <is>
          <t>MEM-DEMO-004</t>
        </is>
      </c>
      <c r="C23" s="75" t="inlineStr">
        <is>
          <t>Mercy Peters</t>
        </is>
      </c>
      <c r="D23" s="75" t="inlineStr">
        <is>
          <t>BOPEU Members — Female</t>
        </is>
      </c>
      <c r="E23" s="75" t="inlineStr">
        <is>
          <t>Health &amp; Wellness</t>
        </is>
      </c>
      <c r="F23" s="75" t="inlineStr">
        <is>
          <t>Diagnofirm</t>
        </is>
      </c>
      <c r="G23" s="75" t="inlineStr">
        <is>
          <t>Member diagnostic savings</t>
        </is>
      </c>
      <c r="H23" s="75" t="inlineStr">
        <is>
          <t>Eligibility details to confirm</t>
        </is>
      </c>
      <c r="I23" s="75" t="inlineStr">
        <is>
          <t>DEMO-DIAG-MP-01</t>
        </is>
      </c>
      <c r="J23" s="93" t="n"/>
      <c r="K23" s="75" t="inlineStr">
        <is>
          <t>Review status and provide the next checklist item</t>
        </is>
      </c>
      <c r="L23" s="75" t="inlineStr">
        <is>
          <t>Reference describes up to 35% off for members without medical aid. Confirm eligible test/service and current terms.</t>
        </is>
      </c>
      <c r="M23" s="75" t="inlineStr">
        <is>
          <t>Eligibility response only; no clinical records</t>
        </is>
      </c>
    </row>
    <row r="24" ht="46" customHeight="1" s="53">
      <c r="A24" s="75" t="inlineStr">
        <is>
          <t>BEN-SACCOS-MP</t>
        </is>
      </c>
      <c r="B24" s="75" t="inlineStr">
        <is>
          <t>MEM-DEMO-004</t>
        </is>
      </c>
      <c r="C24" s="75" t="inlineStr">
        <is>
          <t>Mercy Peters</t>
        </is>
      </c>
      <c r="D24" s="75" t="inlineStr">
        <is>
          <t>BOPEU Members — Female</t>
        </is>
      </c>
      <c r="E24" s="75" t="inlineStr">
        <is>
          <t>Finance &amp; Savings</t>
        </is>
      </c>
      <c r="F24" s="75" t="inlineStr">
        <is>
          <t>Babereki SACCOS</t>
        </is>
      </c>
      <c r="G24" s="75" t="inlineStr">
        <is>
          <t>Savings account</t>
        </is>
      </c>
      <c r="H24" s="75" t="inlineStr">
        <is>
          <t>Active demo</t>
        </is>
      </c>
      <c r="I24" s="75" t="inlineStr">
        <is>
          <t>DEMO-SACCOS-004</t>
        </is>
      </c>
      <c r="J24" s="93" t="n">
        <v>7320</v>
      </c>
      <c r="K24" s="75" t="inlineStr">
        <is>
          <t>Display current status and next payment/date if relevant</t>
        </is>
      </c>
      <c r="L24" s="75" t="inlineStr">
        <is>
          <t>P400 monthly contribution and P7,320 synthetic balance.</t>
        </is>
      </c>
      <c r="M24" s="75" t="inlineStr">
        <is>
          <t>Only member-authorised financial workflow; role-limited</t>
        </is>
      </c>
    </row>
    <row r="25" ht="46" customHeight="1" s="53">
      <c r="A25" s="75" t="inlineStr">
        <is>
          <t>BEN-AIRTIME-SK</t>
        </is>
      </c>
      <c r="B25" s="75" t="inlineStr">
        <is>
          <t>MEM-DEMO-005</t>
        </is>
      </c>
      <c r="C25" s="75" t="inlineStr">
        <is>
          <t>Siyanda Kefitlile</t>
        </is>
      </c>
      <c r="D25" s="75" t="inlineStr">
        <is>
          <t>BOPEU Members — Female</t>
        </is>
      </c>
      <c r="E25" s="75" t="inlineStr">
        <is>
          <t>Utilities &amp; Telecom</t>
        </is>
      </c>
      <c r="F25" s="75" t="inlineStr">
        <is>
          <t>Orange / BOPEU airtime scheme</t>
        </is>
      </c>
      <c r="G25" s="75" t="inlineStr">
        <is>
          <t>Airtime or mobile plan scheme</t>
        </is>
      </c>
      <c r="H25" s="75" t="inlineStr">
        <is>
          <t>Interest registered — current terms to confirm</t>
        </is>
      </c>
      <c r="I25" s="75" t="inlineStr">
        <is>
          <t>DEMO-UTIL-SK-01</t>
        </is>
      </c>
      <c r="J25" s="93" t="n"/>
      <c r="K25" s="75" t="inlineStr">
        <is>
          <t>Review status and provide the next checklist item</t>
        </is>
      </c>
      <c r="L25" s="75" t="inlineStr">
        <is>
          <t>No live bundle, price or deduction amount should be shown until BOPEU and the partner confirm current terms.</t>
        </is>
      </c>
      <c r="M25" s="75" t="inlineStr">
        <is>
          <t>Member-facing benefit details only; current terms should be verified</t>
        </is>
      </c>
    </row>
    <row r="26" ht="46" customHeight="1" s="53">
      <c r="A26" s="75" t="inlineStr">
        <is>
          <t>BEN-ACU-SK</t>
        </is>
      </c>
      <c r="B26" s="75" t="inlineStr">
        <is>
          <t>MEM-DEMO-005</t>
        </is>
      </c>
      <c r="C26" s="75" t="inlineStr">
        <is>
          <t>Siyanda Kefitlile</t>
        </is>
      </c>
      <c r="D26" s="75" t="inlineStr">
        <is>
          <t>BOPEU Members — Female</t>
        </is>
      </c>
      <c r="E26" s="75" t="inlineStr">
        <is>
          <t>Health &amp; Wellness</t>
        </is>
      </c>
      <c r="F26" s="75" t="inlineStr">
        <is>
          <t>AcuDetox</t>
        </is>
      </c>
      <c r="G26" s="75" t="inlineStr">
        <is>
          <t>Wellness service information</t>
        </is>
      </c>
      <c r="H26" s="75" t="inlineStr">
        <is>
          <t>Service information saved — discount unconfirmed</t>
        </is>
      </c>
      <c r="I26" s="75" t="inlineStr">
        <is>
          <t>DEMO-ACU-SK-01</t>
        </is>
      </c>
      <c r="J26" s="93" t="n"/>
      <c r="K26" s="75" t="inlineStr">
        <is>
          <t>Review status and provide the next checklist item</t>
        </is>
      </c>
      <c r="L26" s="75" t="inlineStr">
        <is>
          <t>Reference records public partnership messaging but no verified numerical discount; avoid inventing one.</t>
        </is>
      </c>
      <c r="M26" s="75" t="inlineStr">
        <is>
          <t>Member-facing benefit details only; current terms should be verified</t>
        </is>
      </c>
    </row>
    <row r="27" ht="46" customHeight="1" s="53">
      <c r="A27" s="75" t="inlineStr">
        <is>
          <t>BEN-FUNERAL-SK</t>
        </is>
      </c>
      <c r="B27" s="75" t="inlineStr">
        <is>
          <t>MEM-DEMO-005</t>
        </is>
      </c>
      <c r="C27" s="75" t="inlineStr">
        <is>
          <t>Siyanda Kefitlile</t>
        </is>
      </c>
      <c r="D27" s="75" t="inlineStr">
        <is>
          <t>BOPEU Members — Female</t>
        </is>
      </c>
      <c r="E27" s="75" t="inlineStr">
        <is>
          <t>Insurance &amp; Welfare</t>
        </is>
      </c>
      <c r="F27" s="75" t="inlineStr">
        <is>
          <t>Babereki / funeral scheme</t>
        </is>
      </c>
      <c r="G27" s="75" t="inlineStr">
        <is>
          <t>Family funeral cover</t>
        </is>
      </c>
      <c r="H27" s="75" t="inlineStr">
        <is>
          <t>Active demo</t>
        </is>
      </c>
      <c r="I27" s="75" t="inlineStr">
        <is>
          <t>DEMO-FUN-SK-01</t>
        </is>
      </c>
      <c r="J27" s="93" t="n"/>
      <c r="K27" s="75" t="inlineStr">
        <is>
          <t>Display current status and next payment/date if relevant</t>
        </is>
      </c>
      <c r="L27" s="75" t="inlineStr">
        <is>
          <t>One child in compulsory demo cover; optional mother cover is illustrative only.</t>
        </is>
      </c>
      <c r="M27" s="75" t="inlineStr">
        <is>
          <t>Assigned welfare/claims staff only; dependents masked outside the workflow</t>
        </is>
      </c>
    </row>
    <row r="28" ht="46" customHeight="1" s="53">
      <c r="A28" s="75" t="inlineStr">
        <is>
          <t>BEN-SACCOS-SK</t>
        </is>
      </c>
      <c r="B28" s="75" t="inlineStr">
        <is>
          <t>MEM-DEMO-005</t>
        </is>
      </c>
      <c r="C28" s="75" t="inlineStr">
        <is>
          <t>Siyanda Kefitlile</t>
        </is>
      </c>
      <c r="D28" s="75" t="inlineStr">
        <is>
          <t>BOPEU Members — Female</t>
        </is>
      </c>
      <c r="E28" s="75" t="inlineStr">
        <is>
          <t>Finance &amp; Savings</t>
        </is>
      </c>
      <c r="F28" s="75" t="inlineStr">
        <is>
          <t>Babereki SACCOS</t>
        </is>
      </c>
      <c r="G28" s="75" t="inlineStr">
        <is>
          <t>Savings account</t>
        </is>
      </c>
      <c r="H28" s="75" t="inlineStr">
        <is>
          <t>Active demo</t>
        </is>
      </c>
      <c r="I28" s="75" t="inlineStr">
        <is>
          <t>DEMO-SACCOS-005</t>
        </is>
      </c>
      <c r="J28" s="93" t="n">
        <v>3760</v>
      </c>
      <c r="K28" s="75" t="inlineStr">
        <is>
          <t>Display current status and next payment/date if relevant</t>
        </is>
      </c>
      <c r="L28" s="75" t="inlineStr">
        <is>
          <t>P200 monthly contribution and P3,760 synthetic savings balance.</t>
        </is>
      </c>
      <c r="M28" s="75" t="inlineStr">
        <is>
          <t>Only member-authorised financial workflow; role-limited</t>
        </is>
      </c>
    </row>
    <row r="29" ht="46" customHeight="1" s="53">
      <c r="A29" s="75" t="inlineStr">
        <is>
          <t>BEN-MICRO-SK</t>
        </is>
      </c>
      <c r="B29" s="75" t="inlineStr">
        <is>
          <t>MEM-DEMO-005</t>
        </is>
      </c>
      <c r="C29" s="75" t="inlineStr">
        <is>
          <t>Siyanda Kefitlile</t>
        </is>
      </c>
      <c r="D29" s="75" t="inlineStr">
        <is>
          <t>BOPEU Members — Female</t>
        </is>
      </c>
      <c r="E29" s="75" t="inlineStr">
        <is>
          <t>Finance &amp; Credit</t>
        </is>
      </c>
      <c r="F29" s="75" t="inlineStr">
        <is>
          <t>Babereki SACCOS</t>
        </is>
      </c>
      <c r="G29" s="75" t="inlineStr">
        <is>
          <t>Micro-loan enquiry</t>
        </is>
      </c>
      <c r="H29" s="75" t="inlineStr">
        <is>
          <t>Eligibility check requested</t>
        </is>
      </c>
      <c r="I29" s="75" t="inlineStr">
        <is>
          <t>DEMO-LOAN-SK-01</t>
        </is>
      </c>
      <c r="J29" s="93" t="n">
        <v>4500</v>
      </c>
      <c r="K29" s="75" t="inlineStr">
        <is>
          <t>Partner/service desk to respond; do not imply approval</t>
        </is>
      </c>
      <c r="L29" s="75" t="inlineStr">
        <is>
          <t>Request amount P4,500; not approved and affordability checks remain outstanding.</t>
        </is>
      </c>
      <c r="M29" s="75" t="inlineStr">
        <is>
          <t>Only member-authorised financial workflow; role-limited</t>
        </is>
      </c>
    </row>
    <row r="30" ht="46" customHeight="1" s="53">
      <c r="A30" s="75" t="inlineStr">
        <is>
          <t>BEN-SACCOS-PK</t>
        </is>
      </c>
      <c r="B30" s="75" t="inlineStr">
        <is>
          <t>MEM-DEMO-006</t>
        </is>
      </c>
      <c r="C30" s="75" t="inlineStr">
        <is>
          <t>Patricia Kgaope</t>
        </is>
      </c>
      <c r="D30" s="75" t="inlineStr">
        <is>
          <t>BOPEU Members — Female</t>
        </is>
      </c>
      <c r="E30" s="75" t="inlineStr">
        <is>
          <t>Finance &amp; Savings</t>
        </is>
      </c>
      <c r="F30" s="75" t="inlineStr">
        <is>
          <t>Babereki SACCOS</t>
        </is>
      </c>
      <c r="G30" s="75" t="inlineStr">
        <is>
          <t>Savings account</t>
        </is>
      </c>
      <c r="H30" s="75" t="inlineStr">
        <is>
          <t>Active demo</t>
        </is>
      </c>
      <c r="I30" s="75" t="inlineStr">
        <is>
          <t>DEMO-SACCOS-006</t>
        </is>
      </c>
      <c r="J30" s="93" t="n">
        <v>13250</v>
      </c>
      <c r="K30" s="75" t="inlineStr">
        <is>
          <t>Display current status and next payment/date if relevant</t>
        </is>
      </c>
      <c r="L30" s="75" t="inlineStr">
        <is>
          <t>P500 monthly contribution; illustrative balance P13,250.</t>
        </is>
      </c>
      <c r="M30" s="75" t="inlineStr">
        <is>
          <t>Only member-authorised financial workflow; role-limited</t>
        </is>
      </c>
    </row>
    <row r="31" ht="46" customHeight="1" s="53">
      <c r="A31" s="75" t="inlineStr">
        <is>
          <t>BEN-FUNERAL-PK</t>
        </is>
      </c>
      <c r="B31" s="75" t="inlineStr">
        <is>
          <t>MEM-DEMO-006</t>
        </is>
      </c>
      <c r="C31" s="75" t="inlineStr">
        <is>
          <t>Patricia Kgaope</t>
        </is>
      </c>
      <c r="D31" s="75" t="inlineStr">
        <is>
          <t>BOPEU Members — Female</t>
        </is>
      </c>
      <c r="E31" s="75" t="inlineStr">
        <is>
          <t>Insurance &amp; Welfare</t>
        </is>
      </c>
      <c r="F31" s="75" t="inlineStr">
        <is>
          <t>Babereki / funeral scheme</t>
        </is>
      </c>
      <c r="G31" s="75" t="inlineStr">
        <is>
          <t>Family funeral cover</t>
        </is>
      </c>
      <c r="H31" s="75" t="inlineStr">
        <is>
          <t>Active demo</t>
        </is>
      </c>
      <c r="I31" s="75" t="inlineStr">
        <is>
          <t>DEMO-FUN-PK-01</t>
        </is>
      </c>
      <c r="J31" s="93" t="n"/>
      <c r="K31" s="75" t="inlineStr">
        <is>
          <t>Display current status and next payment/date if relevant</t>
        </is>
      </c>
      <c r="L31" s="75" t="inlineStr">
        <is>
          <t>Spouse and one child listed.</t>
        </is>
      </c>
      <c r="M31" s="75" t="inlineStr">
        <is>
          <t>Assigned welfare/claims staff only; dependents masked outside the workflow</t>
        </is>
      </c>
    </row>
    <row r="32" ht="46" customHeight="1" s="53">
      <c r="A32" s="75" t="inlineStr">
        <is>
          <t>BEN-EXT-PK</t>
        </is>
      </c>
      <c r="B32" s="75" t="inlineStr">
        <is>
          <t>MEM-DEMO-006</t>
        </is>
      </c>
      <c r="C32" s="75" t="inlineStr">
        <is>
          <t>Patricia Kgaope</t>
        </is>
      </c>
      <c r="D32" s="75" t="inlineStr">
        <is>
          <t>BOPEU Members — Female</t>
        </is>
      </c>
      <c r="E32" s="75" t="inlineStr">
        <is>
          <t>Insurance</t>
        </is>
      </c>
      <c r="F32" s="75" t="inlineStr">
        <is>
          <t>Babereki Insurance Services</t>
        </is>
      </c>
      <c r="G32" s="75" t="inlineStr">
        <is>
          <t>Optional extended-family cover</t>
        </is>
      </c>
      <c r="H32" s="75" t="inlineStr">
        <is>
          <t>Quote illustration</t>
        </is>
      </c>
      <c r="I32" s="75" t="inlineStr">
        <is>
          <t>DEMO-EXT-PK-01</t>
        </is>
      </c>
      <c r="J32" s="93" t="n"/>
      <c r="K32" s="75" t="inlineStr">
        <is>
          <t>Partner/service desk to respond; do not imply approval</t>
        </is>
      </c>
      <c r="L32" s="75" t="inlineStr">
        <is>
          <t>Mother age 74 and Tier C display; sample P90/month is invented for UI realism and must not be stated as a real premium.</t>
        </is>
      </c>
      <c r="M32" s="75" t="inlineStr">
        <is>
          <t>Assigned welfare/claims staff only; dependents masked outside the workflow</t>
        </is>
      </c>
    </row>
    <row r="33" ht="46" customHeight="1" s="53">
      <c r="A33" s="75" t="inlineStr">
        <is>
          <t>BEN-MOTOR-PK</t>
        </is>
      </c>
      <c r="B33" s="75" t="inlineStr">
        <is>
          <t>MEM-DEMO-006</t>
        </is>
      </c>
      <c r="C33" s="75" t="inlineStr">
        <is>
          <t>Patricia Kgaope</t>
        </is>
      </c>
      <c r="D33" s="75" t="inlineStr">
        <is>
          <t>BOPEU Members — Female</t>
        </is>
      </c>
      <c r="E33" s="75" t="inlineStr">
        <is>
          <t>Insurance</t>
        </is>
      </c>
      <c r="F33" s="75" t="inlineStr">
        <is>
          <t>Babereki Insurance Services</t>
        </is>
      </c>
      <c r="G33" s="75" t="inlineStr">
        <is>
          <t>Motor insurance quote</t>
        </is>
      </c>
      <c r="H33" s="75" t="inlineStr">
        <is>
          <t>Quote requested</t>
        </is>
      </c>
      <c r="I33" s="75" t="inlineStr">
        <is>
          <t>DEMO-QUOTE-PK-01</t>
        </is>
      </c>
      <c r="J33" s="93" t="n"/>
      <c r="K33" s="75" t="inlineStr">
        <is>
          <t>Partner/service desk to respond; do not imply approval</t>
        </is>
      </c>
      <c r="L33" s="75" t="inlineStr">
        <is>
          <t>Quote and underwriting are pending.</t>
        </is>
      </c>
      <c r="M33" s="75" t="inlineStr">
        <is>
          <t>Assigned welfare/claims staff only; dependents masked outside the workflow</t>
        </is>
      </c>
    </row>
    <row r="34" ht="46" customHeight="1" s="53">
      <c r="A34" s="75" t="inlineStr">
        <is>
          <t>BEN-HOME-PK</t>
        </is>
      </c>
      <c r="B34" s="75" t="inlineStr">
        <is>
          <t>MEM-DEMO-006</t>
        </is>
      </c>
      <c r="C34" s="75" t="inlineStr">
        <is>
          <t>Patricia Kgaope</t>
        </is>
      </c>
      <c r="D34" s="75" t="inlineStr">
        <is>
          <t>BOPEU Members — Female</t>
        </is>
      </c>
      <c r="E34" s="75" t="inlineStr">
        <is>
          <t>Insurance</t>
        </is>
      </c>
      <c r="F34" s="75" t="inlineStr">
        <is>
          <t>Babereki Insurance Services / Old Mutual scheme — current terms to verify</t>
        </is>
      </c>
      <c r="G34" s="75" t="inlineStr">
        <is>
          <t>Household contents cover</t>
        </is>
      </c>
      <c r="H34" s="75" t="inlineStr">
        <is>
          <t>Quote requested</t>
        </is>
      </c>
      <c r="I34" s="75" t="inlineStr">
        <is>
          <t>DEMO-HOME-PK-01</t>
        </is>
      </c>
      <c r="J34" s="93" t="n"/>
      <c r="K34" s="75" t="inlineStr">
        <is>
          <t>Partner/service desk to respond; do not imply approval</t>
        </is>
      </c>
      <c r="L34" s="75" t="inlineStr">
        <is>
          <t>Older reference describes household-contents insurance collaboration; current product and rates must be re-confirmed before publication.</t>
        </is>
      </c>
      <c r="M34" s="75" t="inlineStr">
        <is>
          <t>Assigned welfare/claims staff only; dependents masked outside the workflow</t>
        </is>
      </c>
    </row>
    <row r="35" ht="46" customHeight="1" s="53">
      <c r="A35" s="79" t="inlineStr">
        <is>
          <t>BEN-DIAG-PK</t>
        </is>
      </c>
      <c r="B35" s="79" t="inlineStr">
        <is>
          <t>MEM-DEMO-006</t>
        </is>
      </c>
      <c r="C35" s="79" t="inlineStr">
        <is>
          <t>Patricia Kgaope</t>
        </is>
      </c>
      <c r="D35" s="79" t="inlineStr">
        <is>
          <t>BOPEU Members — Female</t>
        </is>
      </c>
      <c r="E35" s="79" t="inlineStr">
        <is>
          <t>Health &amp; Wellness</t>
        </is>
      </c>
      <c r="F35" s="79" t="inlineStr">
        <is>
          <t>Diagnofirm</t>
        </is>
      </c>
      <c r="G35" s="79" t="inlineStr">
        <is>
          <t>Medical-aid verification</t>
        </is>
      </c>
      <c r="H35" s="79" t="inlineStr">
        <is>
          <t>Demo eligibility ping</t>
        </is>
      </c>
      <c r="I35" s="79" t="inlineStr">
        <is>
          <t>DEMO-VERIFY-PK-01</t>
        </is>
      </c>
      <c r="J35" s="94" t="n"/>
      <c r="K35" s="79" t="inlineStr">
        <is>
          <t>Review status and provide the next checklist item</t>
        </is>
      </c>
      <c r="L35" s="79" t="inlineStr">
        <is>
          <t>Partner receives eligibility flags only; no medical history is shown.</t>
        </is>
      </c>
      <c r="M35" s="79" t="inlineStr">
        <is>
          <t>Eligibility response only; no clinical records</t>
        </is>
      </c>
    </row>
  </sheetData>
  <mergeCells count="2">
    <mergeCell ref="A2:M2"/>
    <mergeCell ref="A1:M1"/>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Z10"/>
  <sheetViews>
    <sheetView workbookViewId="0">
      <pane ySplit="3" topLeftCell="A4" activePane="bottomLeft" state="frozen"/>
      <selection activeCell="A1" sqref="A1"/>
    </sheetView>
  </sheetViews>
  <sheetFormatPr baseColWidth="8" defaultRowHeight="15"/>
  <cols>
    <col width="24" customWidth="1" style="53" min="1" max="1"/>
    <col width="24" customWidth="1" style="53" min="2" max="2"/>
    <col width="35" customWidth="1" style="53" min="3" max="3"/>
    <col width="24" customWidth="1" style="53" min="4" max="4"/>
    <col width="24" customWidth="1" style="53" min="5" max="5"/>
    <col width="24" customWidth="1" style="53" min="6" max="6"/>
    <col width="24" customWidth="1" style="53" min="7" max="7"/>
    <col width="34" customWidth="1" style="53" min="8" max="8"/>
    <col width="34" customWidth="1" style="53" min="9" max="9"/>
    <col width="24" customWidth="1" style="53" min="10" max="10"/>
    <col width="24" customWidth="1" style="53" min="11" max="11"/>
    <col width="34" customWidth="1" style="53" min="12" max="12"/>
    <col width="26" customWidth="1" style="53" min="13" max="13"/>
    <col width="36" customWidth="1" style="53" min="14" max="14"/>
    <col width="31" customWidth="1" style="53" min="15" max="15"/>
    <col width="24" customWidth="1" style="53" min="16" max="16"/>
    <col width="30" customWidth="1" style="53" min="17" max="17"/>
    <col width="30" customWidth="1" style="53" min="18" max="18"/>
    <col width="26" customWidth="1" style="53" min="19" max="19"/>
    <col width="40" customWidth="1" style="53" min="20" max="20"/>
    <col width="28" customWidth="1" style="53" min="21" max="21"/>
    <col width="30" customWidth="1" style="53" min="22" max="22"/>
    <col width="56" customWidth="1" style="53" min="23" max="23"/>
    <col width="56" customWidth="1" style="53" min="24" max="24"/>
    <col width="42" customWidth="1" style="53" min="25" max="25"/>
    <col width="50" customWidth="1" style="53" min="26" max="26"/>
    <col width="48" customWidth="1" style="53" min="27" max="27"/>
    <col width="55" customWidth="1" style="53" min="28" max="28"/>
  </cols>
  <sheetData>
    <row r="1" ht="30" customHeight="1" s="53">
      <c r="A1" s="83" t="inlineStr">
        <is>
          <t>BOPEU STAFF — ROLE-BASED PROFILE DIRECTORY</t>
        </is>
      </c>
      <c r="B1" s="55" t="n"/>
      <c r="C1" s="55" t="n"/>
      <c r="D1" s="55" t="n"/>
      <c r="E1" s="55" t="n"/>
      <c r="F1" s="55" t="n"/>
      <c r="G1" s="55" t="n"/>
      <c r="H1" s="55" t="n"/>
      <c r="I1" s="55" t="n"/>
      <c r="J1" s="55" t="n"/>
      <c r="K1" s="55" t="n"/>
      <c r="L1" s="55" t="n"/>
      <c r="M1" s="55" t="n"/>
      <c r="N1" s="55" t="n"/>
      <c r="O1" s="55" t="n"/>
      <c r="P1" s="55" t="n"/>
      <c r="Q1" s="55" t="n"/>
      <c r="R1" s="55" t="n"/>
      <c r="S1" s="55" t="n"/>
      <c r="T1" s="55" t="n"/>
      <c r="U1" s="55" t="n"/>
      <c r="V1" s="55" t="n"/>
      <c r="W1" s="55" t="n"/>
      <c r="X1" s="55" t="n"/>
      <c r="Y1" s="55" t="n"/>
      <c r="Z1" s="55" t="n"/>
      <c r="AA1" s="55" t="n"/>
      <c r="AB1" s="55" t="n"/>
    </row>
    <row r="2" ht="34" customHeight="1" s="53">
      <c r="A2" s="54" t="inlineStr">
        <is>
          <t>Seven fictional internal accounts. One staff portal with role-based menus; permissions here are demo policy examples, not production access grants.</t>
        </is>
      </c>
      <c r="B2" s="55" t="n"/>
      <c r="C2" s="55" t="n"/>
      <c r="D2" s="55" t="n"/>
      <c r="E2" s="55" t="n"/>
      <c r="F2" s="55" t="n"/>
      <c r="G2" s="55" t="n"/>
      <c r="H2" s="55" t="n"/>
      <c r="I2" s="55" t="n"/>
      <c r="J2" s="55" t="n"/>
      <c r="K2" s="55" t="n"/>
      <c r="L2" s="55" t="n"/>
      <c r="M2" s="55" t="n"/>
      <c r="N2" s="55" t="n"/>
      <c r="O2" s="55" t="n"/>
      <c r="P2" s="55" t="n"/>
      <c r="Q2" s="55" t="n"/>
      <c r="R2" s="55" t="n"/>
      <c r="S2" s="55" t="n"/>
      <c r="T2" s="55" t="n"/>
      <c r="U2" s="55" t="n"/>
      <c r="V2" s="55" t="n"/>
      <c r="W2" s="55" t="n"/>
      <c r="X2" s="55" t="n"/>
      <c r="Y2" s="55" t="n"/>
      <c r="Z2" s="55" t="n"/>
      <c r="AA2" s="55" t="n"/>
      <c r="AB2" s="55" t="n"/>
    </row>
    <row r="3" ht="42" customHeight="1" s="53">
      <c r="A3" s="60" t="inlineStr">
        <is>
          <t>Record ID</t>
        </is>
      </c>
      <c r="B3" s="60" t="inlineStr">
        <is>
          <t>Display Name</t>
        </is>
      </c>
      <c r="C3" s="60" t="inlineStr">
        <is>
          <t>Fictional Full Name</t>
        </is>
      </c>
      <c r="D3" s="60" t="inlineStr">
        <is>
          <t>Age</t>
        </is>
      </c>
      <c r="E3" s="60" t="inlineStr">
        <is>
          <t>DOB</t>
        </is>
      </c>
      <c r="F3" s="60" t="inlineStr">
        <is>
          <t>Staff ID (DEMO)</t>
        </is>
      </c>
      <c r="G3" s="60" t="inlineStr">
        <is>
          <t>System Role</t>
        </is>
      </c>
      <c r="H3" s="60" t="inlineStr">
        <is>
          <t>Job Title</t>
        </is>
      </c>
      <c r="I3" s="60" t="inlineStr">
        <is>
          <t>Department</t>
        </is>
      </c>
      <c r="J3" s="60" t="inlineStr">
        <is>
          <t>Cost Centre</t>
        </is>
      </c>
      <c r="K3" s="60" t="inlineStr">
        <is>
          <t>Status</t>
        </is>
      </c>
      <c r="L3" s="60" t="inlineStr">
        <is>
          <t>Office Location</t>
        </is>
      </c>
      <c r="M3" s="60" t="inlineStr">
        <is>
          <t>Assigned Regions</t>
        </is>
      </c>
      <c r="N3" s="60" t="inlineStr">
        <is>
          <t>Corporate Email (.invalid)</t>
        </is>
      </c>
      <c r="O3" s="60" t="inlineStr">
        <is>
          <t>Omang Ref (DEMO)</t>
        </is>
      </c>
      <c r="P3" s="60" t="inlineStr">
        <is>
          <t>Mobile Provider</t>
        </is>
      </c>
      <c r="Q3" s="60" t="inlineStr">
        <is>
          <t>Mobile (masked)</t>
        </is>
      </c>
      <c r="R3" s="60" t="inlineStr">
        <is>
          <t>WhatsApp (masked)</t>
        </is>
      </c>
      <c r="S3" s="60" t="inlineStr">
        <is>
          <t>Residence (synthetic)</t>
        </is>
      </c>
      <c r="T3" s="60" t="inlineStr">
        <is>
          <t>Reports To / Approver</t>
        </is>
      </c>
      <c r="U3" s="60" t="inlineStr">
        <is>
          <t>Sign-in method</t>
        </is>
      </c>
      <c r="V3" s="60" t="inlineStr">
        <is>
          <t>Device Binding (demo)</t>
        </is>
      </c>
      <c r="W3" s="60" t="inlineStr">
        <is>
          <t>Permissions</t>
        </is>
      </c>
      <c r="X3" s="60" t="inlineStr">
        <is>
          <t>Data Scope / Restrictions</t>
        </is>
      </c>
      <c r="Y3" s="60" t="inlineStr">
        <is>
          <t>Dashboard Metrics (demo)</t>
        </is>
      </c>
      <c r="Z3" s="60" t="inlineStr">
        <is>
          <t>Current Task</t>
        </is>
      </c>
      <c r="AA3" s="60" t="inlineStr">
        <is>
          <t>Last Audit Event (demo)</t>
        </is>
      </c>
      <c r="AB3" s="60" t="inlineStr">
        <is>
          <t>Profile Story</t>
        </is>
      </c>
      <c r="AC3" s="90" t="n"/>
      <c r="AD3" s="90" t="n"/>
      <c r="AE3" s="90" t="n"/>
      <c r="AF3" s="90" t="n"/>
      <c r="AG3" s="90" t="n"/>
      <c r="AH3" s="90" t="n"/>
      <c r="AI3" s="90" t="n"/>
      <c r="AJ3" s="90" t="n"/>
      <c r="AK3" s="90" t="n"/>
      <c r="AL3" s="90" t="n"/>
      <c r="AM3" s="90" t="n"/>
      <c r="AN3" s="90" t="n"/>
      <c r="AO3" s="90" t="n"/>
      <c r="AP3" s="90" t="n"/>
      <c r="AQ3" s="90" t="n"/>
      <c r="AR3" s="90" t="n"/>
      <c r="AS3" s="90" t="n"/>
      <c r="AT3" s="90" t="n"/>
      <c r="AU3" s="90" t="n"/>
      <c r="AV3" s="90" t="n"/>
      <c r="AW3" s="90" t="n"/>
      <c r="AX3" s="90" t="n"/>
      <c r="AY3" s="90" t="n"/>
      <c r="AZ3" s="90" t="n"/>
    </row>
    <row r="4" ht="46" customHeight="1" s="53">
      <c r="A4" s="75" t="inlineStr">
        <is>
          <t>STF-DEMO-001</t>
        </is>
      </c>
      <c r="B4" s="75" t="inlineStr">
        <is>
          <t>Naledi Molefe</t>
        </is>
      </c>
      <c r="C4" s="75" t="inlineStr">
        <is>
          <t>Naledi Kelebogile Molefe (fictional staff identity)</t>
        </is>
      </c>
      <c r="D4" s="75" t="n">
        <v>33</v>
      </c>
      <c r="E4" s="75" t="inlineStr">
        <is>
          <t>1993-02-08</t>
        </is>
      </c>
      <c r="F4" s="75" t="inlineStr">
        <is>
          <t>BOPEU-DEMO-STA-014</t>
        </is>
      </c>
      <c r="G4" s="75" t="inlineStr">
        <is>
          <t>ROLE_MARKETING</t>
        </is>
      </c>
      <c r="H4" s="75" t="inlineStr">
        <is>
          <t>Communications &amp; Partnerships Specialist</t>
        </is>
      </c>
      <c r="I4" s="75" t="inlineStr">
        <is>
          <t>Marketing &amp; Partnerships</t>
        </is>
      </c>
      <c r="J4" s="75" t="inlineStr">
        <is>
          <t>HQ-MKT-01</t>
        </is>
      </c>
      <c r="K4" s="75" t="inlineStr">
        <is>
          <t>Active demo</t>
        </is>
      </c>
      <c r="L4" s="75" t="inlineStr">
        <is>
          <t>BOPEU HQ, Gaborone</t>
        </is>
      </c>
      <c r="M4" s="75" t="inlineStr">
        <is>
          <t>National, South-East</t>
        </is>
      </c>
      <c r="N4" s="75" t="inlineStr">
        <is>
          <t>naledi.molefe@demo.bopeu.invalid</t>
        </is>
      </c>
      <c r="O4" s="75" t="inlineStr">
        <is>
          <t>DEMO-STAFF-OMANG-001 [NOT REAL]</t>
        </is>
      </c>
      <c r="P4" s="75" t="inlineStr">
        <is>
          <t>ORANGE</t>
        </is>
      </c>
      <c r="Q4" s="75" t="inlineStr">
        <is>
          <t>+267 7X XXX 201 [DEMO — NOT ROUTABLE]</t>
        </is>
      </c>
      <c r="R4" s="75" t="inlineStr">
        <is>
          <t>+267 7X XXX 201 [DEMO — NOT ROUTABLE]</t>
        </is>
      </c>
      <c r="S4" s="75" t="inlineStr">
        <is>
          <t>Gaborone — Block 6 (synthetic)</t>
        </is>
      </c>
      <c r="T4" s="75" t="inlineStr">
        <is>
          <t>STF-DEMO-007 — Otsile Sechele</t>
        </is>
      </c>
      <c r="U4" s="75" t="inlineStr">
        <is>
          <t>WhatsApp + first name + password (demo 1234)</t>
        </is>
      </c>
      <c r="V4" s="75" t="inlineStr">
        <is>
          <t>DEMO-LAPTOP-MKT-014</t>
        </is>
      </c>
      <c r="W4" s="75" t="inlineStr">
        <is>
          <t>Create/edit timeline and noticeboard drafts; manage partner directory copy and document vault metadata; schedule content only after approver workflow.</t>
        </is>
      </c>
      <c r="X4" s="75" t="inlineStr">
        <is>
          <t>No Omang, salary, bank, medical-aid, dependant, loan or grievance-case access. Partner API secrets are masked and managed by secure integration settings.</t>
        </is>
      </c>
      <c r="Y4" s="75" t="inlineStr">
        <is>
          <t>{"draft_posts": 5, "scheduled_posts": 2, "partner_records_reviewed": 8, "vault_documents_managed": 17, "pending_approvals": 3}</t>
        </is>
      </c>
      <c r="Z4" s="75" t="inlineStr">
        <is>
          <t>Prepare a member-facing benefit card update and request Orange confirmation of current CUG terms.</t>
        </is>
      </c>
      <c r="AA4" s="75" t="inlineStr">
        <is>
          <t>Edited draft benefit card DEMO-CONTENT-009 on 2026-10-24 15:10 (demo)</t>
        </is>
      </c>
      <c r="AB4" s="75" t="inlineStr">
        <is>
          <t>Keeps the public-facing member experience consistent, labels unverified promotions clearly and routes offers through a second-person approval step.</t>
        </is>
      </c>
    </row>
    <row r="5" ht="46" customHeight="1" s="53">
      <c r="A5" s="75" t="inlineStr">
        <is>
          <t>STF-DEMO-002</t>
        </is>
      </c>
      <c r="B5" s="75" t="inlineStr">
        <is>
          <t>Kago Ndlovu</t>
        </is>
      </c>
      <c r="C5" s="75" t="inlineStr">
        <is>
          <t>Kago Thato Ndlovu (fictional staff identity)</t>
        </is>
      </c>
      <c r="D5" s="75" t="n">
        <v>31</v>
      </c>
      <c r="E5" s="75" t="inlineStr">
        <is>
          <t>1995-06-14</t>
        </is>
      </c>
      <c r="F5" s="75" t="inlineStr">
        <is>
          <t>BOPEU-DEMO-STA-022</t>
        </is>
      </c>
      <c r="G5" s="75" t="inlineStr">
        <is>
          <t>ROLE_SALES_RECRUITMENT</t>
        </is>
      </c>
      <c r="H5" s="75" t="inlineStr">
        <is>
          <t>Membership Recruitment &amp; Retention Officer</t>
        </is>
      </c>
      <c r="I5" s="75" t="inlineStr">
        <is>
          <t>Sales &amp; Client Services</t>
        </is>
      </c>
      <c r="J5" s="75" t="inlineStr">
        <is>
          <t>HQ-SALES-02</t>
        </is>
      </c>
      <c r="K5" s="75" t="inlineStr">
        <is>
          <t>Active demo</t>
        </is>
      </c>
      <c r="L5" s="75" t="inlineStr">
        <is>
          <t>BOPEU HQ, Gaborone; field days across South-East</t>
        </is>
      </c>
      <c r="M5" s="75" t="inlineStr">
        <is>
          <t>South-East, Kgatleng</t>
        </is>
      </c>
      <c r="N5" s="75" t="inlineStr">
        <is>
          <t>kago.ndlovu@demo.bopeu.invalid</t>
        </is>
      </c>
      <c r="O5" s="75" t="inlineStr">
        <is>
          <t>DEMO-STAFF-OMANG-002 [NOT REAL]</t>
        </is>
      </c>
      <c r="P5" s="75" t="inlineStr">
        <is>
          <t>MASCOM</t>
        </is>
      </c>
      <c r="Q5" s="75" t="inlineStr">
        <is>
          <t>+267 7X XXX 202 [DEMO — NOT ROUTABLE]</t>
        </is>
      </c>
      <c r="R5" s="75" t="inlineStr">
        <is>
          <t>+267 7X XXX 202 [DEMO — NOT ROUTABLE]</t>
        </is>
      </c>
      <c r="S5" s="75" t="inlineStr">
        <is>
          <t>Mochudi — village centre (synthetic)</t>
        </is>
      </c>
      <c r="T5" s="75" t="inlineStr">
        <is>
          <t>STF-DEMO-007 — Otsile Sechele</t>
        </is>
      </c>
      <c r="U5" s="75" t="inlineStr">
        <is>
          <t>WhatsApp + first name + password (demo 1234)</t>
        </is>
      </c>
      <c r="V5" s="75" t="inlineStr">
        <is>
          <t>DEMO-FIELD-TABLET-SALES-022</t>
        </is>
      </c>
      <c r="W5" s="75" t="inlineStr">
        <is>
          <t>Capture prospective-member leads; manage follow-up dates; guide registration; see own assigned leads and moderate member-submitted content metadata.</t>
        </is>
      </c>
      <c r="X5" s="75" t="inlineStr">
        <is>
          <t>Prospective data and assigned submissions only. Cannot see full membership register, payroll files, bank details, dependent records or legal case documents.</t>
        </is>
      </c>
      <c r="Y5" s="75" t="inlineStr">
        <is>
          <t>{"monthly_onboarding_target": 18, "new_leads_this_month": 23, "onboarded_this_month": 12, "awaiting_payroll_verification": 4, "content_submissions_pending": 6}</t>
        </is>
      </c>
      <c r="Z5" s="75" t="inlineStr">
        <is>
          <t>Follow up with four prospects awaiting payroll verification and review two member-submitted branch-event photos.</t>
        </is>
      </c>
      <c r="AA5" s="75" t="inlineStr">
        <is>
          <t>Changed lead DEMO-LEAD-087 to 'Awaiting payroll verification' on 2026-10-25 09:20 (demo)</t>
        </is>
      </c>
      <c r="AB5" s="75" t="inlineStr">
        <is>
          <t>Uses a simple funnel from first contact to signed consent to payroll verification, with a clear audit trail instead of promising that a prospect is already an active member.</t>
        </is>
      </c>
    </row>
    <row r="6" ht="46" customHeight="1" s="53">
      <c r="A6" s="75" t="inlineStr">
        <is>
          <t>STF-DEMO-003</t>
        </is>
      </c>
      <c r="B6" s="75" t="inlineStr">
        <is>
          <t>Thabo Motsamai</t>
        </is>
      </c>
      <c r="C6" s="75" t="inlineStr">
        <is>
          <t>Thabo Olebile Motsamai (fictional staff identity)</t>
        </is>
      </c>
      <c r="D6" s="75" t="n">
        <v>41</v>
      </c>
      <c r="E6" s="75" t="inlineStr">
        <is>
          <t>1985-01-29</t>
        </is>
      </c>
      <c r="F6" s="75" t="inlineStr">
        <is>
          <t>BOPEU-DEMO-STA-031</t>
        </is>
      </c>
      <c r="G6" s="75" t="inlineStr">
        <is>
          <t>ROLE_FINANCE_AUDITOR</t>
        </is>
      </c>
      <c r="H6" s="75" t="inlineStr">
        <is>
          <t>Finance Officer / Payroll Auditor</t>
        </is>
      </c>
      <c r="I6" s="75" t="inlineStr">
        <is>
          <t>Finance &amp; Payroll Reconciliation</t>
        </is>
      </c>
      <c r="J6" s="75" t="inlineStr">
        <is>
          <t>HQ-FIN-01</t>
        </is>
      </c>
      <c r="K6" s="75" t="inlineStr">
        <is>
          <t>Active demo</t>
        </is>
      </c>
      <c r="L6" s="75" t="inlineStr">
        <is>
          <t>BOPEU Finance Office, Gaborone</t>
        </is>
      </c>
      <c r="M6" s="75" t="inlineStr">
        <is>
          <t>National</t>
        </is>
      </c>
      <c r="N6" s="75" t="inlineStr">
        <is>
          <t>thabo.motsamai@demo.bopeu.invalid</t>
        </is>
      </c>
      <c r="O6" s="75" t="inlineStr">
        <is>
          <t>DEMO-STAFF-OMANG-003 [NOT REAL]</t>
        </is>
      </c>
      <c r="P6" s="75" t="inlineStr">
        <is>
          <t>BTC</t>
        </is>
      </c>
      <c r="Q6" s="75" t="inlineStr">
        <is>
          <t>+267 7X XXX 203 [DEMO — NOT ROUTABLE]</t>
        </is>
      </c>
      <c r="R6" s="75" t="inlineStr">
        <is>
          <t>Not linked</t>
        </is>
      </c>
      <c r="S6" s="75" t="inlineStr">
        <is>
          <t>Tlokweng — synthetic neighbourhood label</t>
        </is>
      </c>
      <c r="T6" s="75" t="inlineStr">
        <is>
          <t>STF-DEMO-007 — Otsile Sechele; financial adjustments require independent approval</t>
        </is>
      </c>
      <c r="U6" s="75" t="inlineStr">
        <is>
          <t>WhatsApp + first name + password (demo 1234)</t>
        </is>
      </c>
      <c r="V6" s="75" t="inlineStr">
        <is>
          <t>DEMO-SECURE-DESKTOP-FIN-031</t>
        </is>
      </c>
      <c r="W6" s="75" t="inlineStr">
        <is>
          <t>Upload/compare payroll deduction batches; resolve subscription discrepancies; manage arrears and refund requests; export only finance-scoped reports.</t>
        </is>
      </c>
      <c r="X6" s="75" t="inlineStr">
        <is>
          <t>Payroll and deduction data only where assigned. Cannot view clinical information, full dependant lists, marketing drafts or legal case documents unrelated to a payroll discrepancy.</t>
        </is>
      </c>
      <c r="Y6" s="75" t="inlineStr">
        <is>
          <t>{"latest_batch": "DEMO-BATCH-2026-10-A", "rows_processed": 286, "mismatches": 7, "transfer_code_exceptions": 4, "refund_reviews": 2}</t>
        </is>
      </c>
      <c r="Z6" s="75" t="inlineStr">
        <is>
          <t>Reconcile seven mismatch rows and assign the four transfer-code exceptions to the correct payroll liaison.</t>
        </is>
      </c>
      <c r="AA6" s="75" t="inlineStr">
        <is>
          <t>Opened DEMO-BATCH-2026-10-A on 2026-10-25 08:42 (demo)</t>
        </is>
      </c>
      <c r="AB6" s="75" t="inlineStr">
        <is>
          <t>A back-office specialist whose dashboard surfaces capped subscriptions, missed check-offs, over-deductions and the maker-checker approval queue.</t>
        </is>
      </c>
    </row>
    <row r="7" ht="46" customHeight="1" s="53">
      <c r="A7" s="75" t="inlineStr">
        <is>
          <t>STF-DEMO-004</t>
        </is>
      </c>
      <c r="B7" s="75" t="inlineStr">
        <is>
          <t>Boitumelo Kgosidintsi</t>
        </is>
      </c>
      <c r="C7" s="75" t="inlineStr">
        <is>
          <t>Boitumelo Masego Kgosidintsi (fictional staff identity)</t>
        </is>
      </c>
      <c r="D7" s="75" t="n">
        <v>38</v>
      </c>
      <c r="E7" s="75" t="inlineStr">
        <is>
          <t>1988-09-03</t>
        </is>
      </c>
      <c r="F7" s="75" t="inlineStr">
        <is>
          <t>BOPEU-DEMO-STA-038</t>
        </is>
      </c>
      <c r="G7" s="75" t="inlineStr">
        <is>
          <t>ROLE_WELFARE_CLAIMS</t>
        </is>
      </c>
      <c r="H7" s="75" t="inlineStr">
        <is>
          <t>Welfare &amp; Insurance Claims Processor</t>
        </is>
      </c>
      <c r="I7" s="75" t="inlineStr">
        <is>
          <t>Welfare &amp; Claims Administration — Babereki Services</t>
        </is>
      </c>
      <c r="J7" s="75" t="inlineStr">
        <is>
          <t>HQ-WELFARE-01</t>
        </is>
      </c>
      <c r="K7" s="75" t="inlineStr">
        <is>
          <t>Active demo</t>
        </is>
      </c>
      <c r="L7" s="75" t="inlineStr">
        <is>
          <t>Babereki Services Desk, Gaborone</t>
        </is>
      </c>
      <c r="M7" s="75" t="inlineStr">
        <is>
          <t>National</t>
        </is>
      </c>
      <c r="N7" s="75" t="inlineStr">
        <is>
          <t>boitumelo.kgosidintsi@demo.babereki.invalid</t>
        </is>
      </c>
      <c r="O7" s="75" t="inlineStr">
        <is>
          <t>DEMO-STAFF-OMANG-004 [NOT REAL]</t>
        </is>
      </c>
      <c r="P7" s="75" t="inlineStr">
        <is>
          <t>ORANGE</t>
        </is>
      </c>
      <c r="Q7" s="75" t="inlineStr">
        <is>
          <t>+267 7X XXX 204 [DEMO — NOT ROUTABLE]</t>
        </is>
      </c>
      <c r="R7" s="75" t="inlineStr">
        <is>
          <t>+267 7X XXX 204 [DEMO — NOT ROUTABLE]</t>
        </is>
      </c>
      <c r="S7" s="75" t="inlineStr">
        <is>
          <t>Gaborone — Broadhurst (synthetic)</t>
        </is>
      </c>
      <c r="T7" s="75" t="inlineStr">
        <is>
          <t>STF-DEMO-007 — Otsile Sechele; insurer referrals require authorised approval</t>
        </is>
      </c>
      <c r="U7" s="75" t="inlineStr">
        <is>
          <t>WhatsApp + first name + password (demo 1234)</t>
        </is>
      </c>
      <c r="V7" s="75" t="inlineStr">
        <is>
          <t>DEMO-SECURE-LAPTOP-WEL-038</t>
        </is>
      </c>
      <c r="W7" s="75" t="inlineStr">
        <is>
          <t>Manage assigned funeral-claim, bursary and welfare-assistance records; validate document checklist; pass authorised claim packs to insurer/administrator; send status updates.</t>
        </is>
      </c>
      <c r="X7" s="75" t="inlineStr">
        <is>
          <t>Sensitive dependent and claim documents only for assigned cases. Medical files are not collected in the BOPEU portal; partner receives only the fields needed for the claim.</t>
        </is>
      </c>
      <c r="Y7" s="75" t="inlineStr">
        <is>
          <t>{"funeral_claims_in_queue": 8, "bursary_cases_in_queue": 5, "welfare_grants_in_review": 3, "documents_missing": 4}</t>
        </is>
      </c>
      <c r="Z7" s="75" t="inlineStr">
        <is>
          <t>Request a clearer certified attachment on DEMO-CLAIM-022 and update the claimant on expected review steps.</t>
        </is>
      </c>
      <c r="AA7" s="75" t="inlineStr">
        <is>
          <t>Updated document checklist on DEMO-CLAIM-022 on 2026-10-24 11:37 (demo)</t>
        </is>
      </c>
      <c r="AB7" s="75" t="inlineStr">
        <is>
          <t>Works from a checklist-driven queue that shows the next action and status but avoids suggesting that a claim or grant is approved before review.</t>
        </is>
      </c>
    </row>
    <row r="8" ht="46" customHeight="1" s="53">
      <c r="A8" s="75" t="inlineStr">
        <is>
          <t>STF-DEMO-005</t>
        </is>
      </c>
      <c r="B8" s="75" t="inlineStr">
        <is>
          <t>Lorato Tsheko</t>
        </is>
      </c>
      <c r="C8" s="75" t="inlineStr">
        <is>
          <t>Lorato Moipone Tsheko (fictional staff identity)</t>
        </is>
      </c>
      <c r="D8" s="75" t="n">
        <v>45</v>
      </c>
      <c r="E8" s="75" t="inlineStr">
        <is>
          <t>1981-04-21</t>
        </is>
      </c>
      <c r="F8" s="75" t="inlineStr">
        <is>
          <t>BOPEU-DEMO-STA-045</t>
        </is>
      </c>
      <c r="G8" s="75" t="inlineStr">
        <is>
          <t>ROLE_REGIONAL_COORDINATOR</t>
        </is>
      </c>
      <c r="H8" s="75" t="inlineStr">
        <is>
          <t>Regional Coordinator / Chief Shop Steward</t>
        </is>
      </c>
      <c r="I8" s="75" t="inlineStr">
        <is>
          <t>Regional Operations &amp; Shop Stewards</t>
        </is>
      </c>
      <c r="J8" s="75" t="inlineStr">
        <is>
          <t>FRANCISTOWN-REG-01</t>
        </is>
      </c>
      <c r="K8" s="75" t="inlineStr">
        <is>
          <t>Active demo</t>
        </is>
      </c>
      <c r="L8" s="75" t="inlineStr">
        <is>
          <t>BOPEU North-East Regional Desk, Francistown</t>
        </is>
      </c>
      <c r="M8" s="75" t="inlineStr">
        <is>
          <t>North-East, Central, North-West — view by assigned district only</t>
        </is>
      </c>
      <c r="N8" s="75" t="inlineStr">
        <is>
          <t>lorato.tsheko@demo.bopeu.invalid</t>
        </is>
      </c>
      <c r="O8" s="75" t="inlineStr">
        <is>
          <t>DEMO-STAFF-OMANG-005 [NOT REAL]</t>
        </is>
      </c>
      <c r="P8" s="75" t="inlineStr">
        <is>
          <t>MASCOM</t>
        </is>
      </c>
      <c r="Q8" s="75" t="inlineStr">
        <is>
          <t>+267 7X XXX 205 [DEMO — NOT ROUTABLE]</t>
        </is>
      </c>
      <c r="R8" s="75" t="inlineStr">
        <is>
          <t>+267 7X XXX 205 [DEMO — NOT ROUTABLE]</t>
        </is>
      </c>
      <c r="S8" s="75" t="inlineStr">
        <is>
          <t>Francistown — Area A (synthetic)</t>
        </is>
      </c>
      <c r="T8" s="75" t="inlineStr">
        <is>
          <t>STF-DEMO-007 — Otsile Sechele</t>
        </is>
      </c>
      <c r="U8" s="75" t="inlineStr">
        <is>
          <t>WhatsApp + first name + password (demo 1234)</t>
        </is>
      </c>
      <c r="V8" s="75" t="inlineStr">
        <is>
          <t>DEMO-REGION-TABLET-045</t>
        </is>
      </c>
      <c r="W8" s="75" t="inlineStr">
        <is>
          <t>Schedule branch meetings; publish local notices after review; manage attendance/minutes; triage local grievances and escalate to national legal team.</t>
        </is>
      </c>
      <c r="X8" s="75" t="inlineStr">
        <is>
          <t>Assigned regions only. Cannot view other regions' member records, nationwide payroll files, bank details or unassigned legal case documents.</t>
        </is>
      </c>
      <c r="Y8" s="75" t="inlineStr">
        <is>
          <t>{"local_meetings_upcoming": 3, "unresolved_local_escalations": 3, "shop_stewards_active_demo": 14, "attendance_lists_waiting_review": 2}</t>
        </is>
      </c>
      <c r="Z8" s="75" t="inlineStr">
        <is>
          <t>Arrange a Francistown member clinic on payroll deductions and triage three open local escalations.</t>
        </is>
      </c>
      <c r="AA8" s="75" t="inlineStr">
        <is>
          <t>Added a demo branch-meeting agenda on 2026-10-24 16:00 (demo)</t>
        </is>
      </c>
      <c r="AB8" s="75" t="inlineStr">
        <is>
          <t>Keeps the local-to-national chain visible: local triage first, then a documented escalation when the issue needs specialist legal attention.</t>
        </is>
      </c>
    </row>
    <row r="9" ht="46" customHeight="1" s="53">
      <c r="A9" s="75" t="inlineStr">
        <is>
          <t>STF-DEMO-006</t>
        </is>
      </c>
      <c r="B9" s="75" t="inlineStr">
        <is>
          <t>Dineo Tlhabi</t>
        </is>
      </c>
      <c r="C9" s="75" t="inlineStr">
        <is>
          <t>Dineo Thabo Tlhabi (fictional staff identity)</t>
        </is>
      </c>
      <c r="D9" s="75" t="n">
        <v>40</v>
      </c>
      <c r="E9" s="75" t="inlineStr">
        <is>
          <t>1986-05-04</t>
        </is>
      </c>
      <c r="F9" s="75" t="inlineStr">
        <is>
          <t>BOPEU-DEMO-STA-052</t>
        </is>
      </c>
      <c r="G9" s="75" t="inlineStr">
        <is>
          <t>ROLE_OPERATIONS_LEGAL</t>
        </is>
      </c>
      <c r="H9" s="75" t="inlineStr">
        <is>
          <t>Industrial Relations &amp; Legal Officer</t>
        </is>
      </c>
      <c r="I9" s="75" t="inlineStr">
        <is>
          <t>Operations &amp; Legal Services</t>
        </is>
      </c>
      <c r="J9" s="75" t="inlineStr">
        <is>
          <t>HQ-IR-01</t>
        </is>
      </c>
      <c r="K9" s="75" t="inlineStr">
        <is>
          <t>Active demo</t>
        </is>
      </c>
      <c r="L9" s="75" t="inlineStr">
        <is>
          <t>BOPEU Industrial Relations Desk, Gaborone</t>
        </is>
      </c>
      <c r="M9" s="75" t="inlineStr">
        <is>
          <t>National — assigned cases only</t>
        </is>
      </c>
      <c r="N9" s="75" t="inlineStr">
        <is>
          <t>dineo.tlhabi@demo.bopeu.invalid</t>
        </is>
      </c>
      <c r="O9" s="75" t="inlineStr">
        <is>
          <t>DEMO-STAFF-OMANG-006 [NOT REAL]</t>
        </is>
      </c>
      <c r="P9" s="75" t="inlineStr">
        <is>
          <t>BTC</t>
        </is>
      </c>
      <c r="Q9" s="75" t="inlineStr">
        <is>
          <t>+267 7X XXX 206 [DEMO — NOT ROUTABLE]</t>
        </is>
      </c>
      <c r="R9" s="75" t="inlineStr">
        <is>
          <t>Not linked</t>
        </is>
      </c>
      <c r="S9" s="75" t="inlineStr">
        <is>
          <t>Gaborone — Village (synthetic)</t>
        </is>
      </c>
      <c r="T9" s="75" t="inlineStr">
        <is>
          <t>STF-DEMO-007 — Otsile Sechele; sensitive escalations require assignment</t>
        </is>
      </c>
      <c r="U9" s="75" t="inlineStr">
        <is>
          <t>WhatsApp + first name + password (demo 1234)</t>
        </is>
      </c>
      <c r="V9" s="75" t="inlineStr">
        <is>
          <t>DEMO-SECURE-LAPTOP-IR-052</t>
        </is>
      </c>
      <c r="W9" s="75" t="inlineStr">
        <is>
          <t>Manage assigned grievance/dispute cases, legal deadlines, mediation/arbitration status, case attachments and bargaining-council alerts.</t>
        </is>
      </c>
      <c r="X9" s="75" t="inlineStr">
        <is>
          <t>Assigned case parties and case files only. No blanket payroll/bank browsing; finance records are accessed only when attached to a relevant assigned case and specifically authorised.</t>
        </is>
      </c>
      <c r="Y9" s="75" t="inlineStr">
        <is>
          <t>{"active_cases": 11, "mediation": 2, "arbitration": 1, "awaiting_member_documents": 4, "bargaining_alert_drafts": 2}</t>
        </is>
      </c>
      <c r="Z9" s="75" t="inlineStr">
        <is>
          <t>Prepare the next status note for DEMO-GRV-2026-041 and review a draft bargaining alert.</t>
        </is>
      </c>
      <c r="AA9" s="75" t="inlineStr">
        <is>
          <t>Viewed assigned case DEMO-GRV-2026-041 on 2026-10-25 10:03 (demo)</t>
        </is>
      </c>
      <c r="AB9" s="75" t="inlineStr">
        <is>
          <t>Maintains a clear chain of custody for dispute documents and keeps legal case status separate from ordinary customer-service enquiries.</t>
        </is>
      </c>
    </row>
    <row r="10" ht="46" customHeight="1" s="53">
      <c r="A10" s="79" t="inlineStr">
        <is>
          <t>STF-DEMO-007</t>
        </is>
      </c>
      <c r="B10" s="79" t="inlineStr">
        <is>
          <t>Otsile Sechele</t>
        </is>
      </c>
      <c r="C10" s="79" t="inlineStr">
        <is>
          <t>Otsile Kabo Sechele (fictional staff identity)</t>
        </is>
      </c>
      <c r="D10" s="79" t="n">
        <v>48</v>
      </c>
      <c r="E10" s="79" t="inlineStr">
        <is>
          <t>1978-05-26</t>
        </is>
      </c>
      <c r="F10" s="79" t="inlineStr">
        <is>
          <t>BOPEU-DEMO-STA-001</t>
        </is>
      </c>
      <c r="G10" s="79" t="inlineStr">
        <is>
          <t>ROLE_SUPER_ADMIN</t>
        </is>
      </c>
      <c r="H10" s="79" t="inlineStr">
        <is>
          <t>System Administrator &amp; Data Protection Coordinator</t>
        </is>
      </c>
      <c r="I10" s="79" t="inlineStr">
        <is>
          <t>Administration &amp; ICT Governance</t>
        </is>
      </c>
      <c r="J10" s="79" t="inlineStr">
        <is>
          <t>HQ-ADMIN-ICT-01</t>
        </is>
      </c>
      <c r="K10" s="79" t="inlineStr">
        <is>
          <t>Active demo</t>
        </is>
      </c>
      <c r="L10" s="79" t="inlineStr">
        <is>
          <t>BOPEU HQ, Gaborone</t>
        </is>
      </c>
      <c r="M10" s="79" t="inlineStr">
        <is>
          <t>National</t>
        </is>
      </c>
      <c r="N10" s="79" t="inlineStr">
        <is>
          <t>otsile.sechele@demo.bopeu.invalid</t>
        </is>
      </c>
      <c r="O10" s="79" t="inlineStr">
        <is>
          <t>DEMO-STAFF-OMANG-007 [NOT REAL]</t>
        </is>
      </c>
      <c r="P10" s="79" t="inlineStr">
        <is>
          <t>MASCOM</t>
        </is>
      </c>
      <c r="Q10" s="79" t="inlineStr">
        <is>
          <t>+267 7X XXX 207 [DEMO — NOT ROUTABLE]</t>
        </is>
      </c>
      <c r="R10" s="79" t="inlineStr">
        <is>
          <t>Not linked</t>
        </is>
      </c>
      <c r="S10" s="79" t="inlineStr">
        <is>
          <t>Gaborone — Phase 2 (synthetic)</t>
        </is>
      </c>
      <c r="T10" s="79" t="inlineStr">
        <is>
          <t>Executive approver — demo role only</t>
        </is>
      </c>
      <c r="U10" s="79" t="inlineStr">
        <is>
          <t>WhatsApp + first name + password; break-glass access requires reason and audit event</t>
        </is>
      </c>
      <c r="V10" s="79" t="inlineStr">
        <is>
          <t>DEMO-ADMIN-WORKSTATION-001</t>
        </is>
      </c>
      <c r="W10" s="79" t="inlineStr">
        <is>
          <t>Manage user roles, account status, security settings, backup controls and audit-log review. Emergency record access is time-limited, justified and logged.</t>
        </is>
      </c>
      <c r="X10" s="79" t="inlineStr">
        <is>
          <t>Administrative control is not a licence for routine browsing of every member's sensitive data. The prototype must use least privilege and log every privileged action.</t>
        </is>
      </c>
      <c r="Y10" s="79" t="inlineStr">
        <is>
          <t>{"active_staff_accounts_demo": 7, "accounts_reviewed_this_month": 7, "audit_events_today_demo": 24, "open_security_reviews": 2}</t>
        </is>
      </c>
      <c r="Z10" s="79" t="inlineStr">
        <is>
          <t>Review a staff-role change request and verify that a simulated partner account is limited to its own offer records.</t>
        </is>
      </c>
      <c r="AA10" s="79" t="inlineStr">
        <is>
          <t>Reviewed permissions for DEMO-PARTNER-003 on 2026-10-25 10:30 (demo)</t>
        </is>
      </c>
      <c r="AB10" s="79" t="inlineStr">
        <is>
          <t>Keeps the portal secure through role separation, auditable overrides and a controlled break-glass process rather than relying on a generic all-powerful login.</t>
        </is>
      </c>
    </row>
  </sheetData>
  <mergeCells count="2">
    <mergeCell ref="A2:AB2"/>
    <mergeCell ref="A1:AB1"/>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Z9"/>
  <sheetViews>
    <sheetView workbookViewId="0">
      <pane ySplit="3" topLeftCell="A4" activePane="bottomLeft" state="frozen"/>
      <selection activeCell="A1" sqref="A1"/>
    </sheetView>
  </sheetViews>
  <sheetFormatPr baseColWidth="8" defaultRowHeight="15"/>
  <cols>
    <col width="25" customWidth="1" style="53" min="1" max="1"/>
    <col width="34" customWidth="1" style="53" min="2" max="2"/>
    <col width="28" customWidth="1" style="53" min="3" max="3"/>
    <col width="40" customWidth="1" style="53" min="4" max="4"/>
    <col width="25" customWidth="1" style="53" min="5" max="5"/>
    <col width="34" customWidth="1" style="53" min="6" max="6"/>
    <col width="40" customWidth="1" style="53" min="7" max="7"/>
    <col width="25" customWidth="1" style="53" min="8" max="8"/>
    <col width="25" customWidth="1" style="53" min="9" max="9"/>
    <col width="48" customWidth="1" style="53" min="10" max="10"/>
    <col width="38" customWidth="1" style="53" min="11" max="11"/>
    <col width="31" customWidth="1" style="53" min="12" max="12"/>
    <col width="25" customWidth="1" style="53" min="13" max="13"/>
    <col width="25" customWidth="1" style="53" min="14" max="14"/>
    <col width="25" customWidth="1" style="53" min="15" max="15"/>
    <col width="58" customWidth="1" style="53" min="16" max="16"/>
    <col width="58" customWidth="1" style="53" min="17" max="17"/>
    <col width="65" customWidth="1" style="53" min="18" max="18"/>
    <col width="42" customWidth="1" style="53" min="19" max="19"/>
    <col width="48" customWidth="1" style="53" min="20" max="20"/>
    <col width="55" customWidth="1" style="53" min="21" max="21"/>
  </cols>
  <sheetData>
    <row r="1" ht="30" customHeight="1" s="53">
      <c r="A1" s="83" t="inlineStr">
        <is>
          <t>BENEFIT PARTNER USERS — RESTRICTED PORTAL PROFILES</t>
        </is>
      </c>
      <c r="B1" s="55" t="n"/>
      <c r="C1" s="55" t="n"/>
      <c r="D1" s="55" t="n"/>
      <c r="E1" s="55" t="n"/>
      <c r="F1" s="55" t="n"/>
      <c r="G1" s="55" t="n"/>
      <c r="H1" s="55" t="n"/>
      <c r="I1" s="55" t="n"/>
      <c r="J1" s="55" t="n"/>
      <c r="K1" s="55" t="n"/>
      <c r="L1" s="55" t="n"/>
      <c r="M1" s="55" t="n"/>
      <c r="N1" s="55" t="n"/>
      <c r="O1" s="55" t="n"/>
      <c r="P1" s="55" t="n"/>
      <c r="Q1" s="55" t="n"/>
      <c r="R1" s="55" t="n"/>
      <c r="S1" s="55" t="n"/>
      <c r="T1" s="55" t="n"/>
      <c r="U1" s="55" t="n"/>
    </row>
    <row r="2" ht="34" customHeight="1" s="53">
      <c r="A2" s="54" t="inlineStr">
        <is>
          <t>Six fictional partner staff accounts. Partners see only their own offer records and assigned, member-authorised transactions; no general member database access.</t>
        </is>
      </c>
      <c r="B2" s="55" t="n"/>
      <c r="C2" s="55" t="n"/>
      <c r="D2" s="55" t="n"/>
      <c r="E2" s="55" t="n"/>
      <c r="F2" s="55" t="n"/>
      <c r="G2" s="55" t="n"/>
      <c r="H2" s="55" t="n"/>
      <c r="I2" s="55" t="n"/>
      <c r="J2" s="55" t="n"/>
      <c r="K2" s="55" t="n"/>
      <c r="L2" s="55" t="n"/>
      <c r="M2" s="55" t="n"/>
      <c r="N2" s="55" t="n"/>
      <c r="O2" s="55" t="n"/>
      <c r="P2" s="55" t="n"/>
      <c r="Q2" s="55" t="n"/>
      <c r="R2" s="55" t="n"/>
      <c r="S2" s="55" t="n"/>
      <c r="T2" s="55" t="n"/>
      <c r="U2" s="55" t="n"/>
    </row>
    <row r="3" ht="42" customHeight="1" s="53">
      <c r="A3" s="60" t="inlineStr">
        <is>
          <t>Record ID</t>
        </is>
      </c>
      <c r="B3" s="60" t="inlineStr">
        <is>
          <t>Organization</t>
        </is>
      </c>
      <c r="C3" s="60" t="inlineStr">
        <is>
          <t>Display Name</t>
        </is>
      </c>
      <c r="D3" s="60" t="inlineStr">
        <is>
          <t>Fictional Full Name</t>
        </is>
      </c>
      <c r="E3" s="60" t="inlineStr">
        <is>
          <t>Age</t>
        </is>
      </c>
      <c r="F3" s="60" t="inlineStr">
        <is>
          <t>Partner Role</t>
        </is>
      </c>
      <c r="G3" s="60" t="inlineStr">
        <is>
          <t>Job Title</t>
        </is>
      </c>
      <c r="H3" s="60" t="inlineStr">
        <is>
          <t>Employee ID (DEMO)</t>
        </is>
      </c>
      <c r="I3" s="60" t="inlineStr">
        <is>
          <t>Organization ID (DEMO)</t>
        </is>
      </c>
      <c r="J3" s="60" t="inlineStr">
        <is>
          <t>Branch / Location</t>
        </is>
      </c>
      <c r="K3" s="60" t="inlineStr">
        <is>
          <t>Corporate Email (.invalid)</t>
        </is>
      </c>
      <c r="L3" s="60" t="inlineStr">
        <is>
          <t>Omang Ref (DEMO)</t>
        </is>
      </c>
      <c r="M3" s="60" t="inlineStr">
        <is>
          <t>System Role</t>
        </is>
      </c>
      <c r="N3" s="60" t="inlineStr">
        <is>
          <t>Account Status</t>
        </is>
      </c>
      <c r="O3" s="60" t="inlineStr">
        <is>
          <t>Sign-in method</t>
        </is>
      </c>
      <c r="P3" s="60" t="inlineStr">
        <is>
          <t>Permissions</t>
        </is>
      </c>
      <c r="Q3" s="60" t="inlineStr">
        <is>
          <t>Data Scope / Restrictions</t>
        </is>
      </c>
      <c r="R3" s="60" t="inlineStr">
        <is>
          <t>Offer Cards (demo)</t>
        </is>
      </c>
      <c r="S3" s="60" t="inlineStr">
        <is>
          <t>Dashboard Metrics (demo)</t>
        </is>
      </c>
      <c r="T3" s="60" t="inlineStr">
        <is>
          <t>Last Audit Event (demo)</t>
        </is>
      </c>
      <c r="U3" s="60" t="inlineStr">
        <is>
          <t>Profile Story</t>
        </is>
      </c>
      <c r="V3" s="90" t="n"/>
      <c r="W3" s="90" t="n"/>
      <c r="X3" s="90" t="n"/>
      <c r="Y3" s="90" t="n"/>
      <c r="Z3" s="90" t="n"/>
      <c r="AA3" s="90" t="n"/>
      <c r="AB3" s="90" t="n"/>
      <c r="AC3" s="90" t="n"/>
      <c r="AD3" s="90" t="n"/>
      <c r="AE3" s="90" t="n"/>
      <c r="AF3" s="90" t="n"/>
      <c r="AG3" s="90" t="n"/>
      <c r="AH3" s="90" t="n"/>
      <c r="AI3" s="90" t="n"/>
      <c r="AJ3" s="90" t="n"/>
      <c r="AK3" s="90" t="n"/>
      <c r="AL3" s="90" t="n"/>
      <c r="AM3" s="90" t="n"/>
      <c r="AN3" s="90" t="n"/>
      <c r="AO3" s="90" t="n"/>
      <c r="AP3" s="90" t="n"/>
      <c r="AQ3" s="90" t="n"/>
      <c r="AR3" s="90" t="n"/>
      <c r="AS3" s="90" t="n"/>
      <c r="AT3" s="90" t="n"/>
      <c r="AU3" s="90" t="n"/>
      <c r="AV3" s="90" t="n"/>
      <c r="AW3" s="90" t="n"/>
      <c r="AX3" s="90" t="n"/>
      <c r="AY3" s="90" t="n"/>
      <c r="AZ3" s="90" t="n"/>
    </row>
    <row r="4" ht="46" customHeight="1" s="53">
      <c r="A4" s="75" t="inlineStr">
        <is>
          <t>PAR-DEMO-001</t>
        </is>
      </c>
      <c r="B4" s="75" t="inlineStr">
        <is>
          <t>Orange Botswana</t>
        </is>
      </c>
      <c r="C4" s="75" t="inlineStr">
        <is>
          <t>Keitumetse Mooketsi</t>
        </is>
      </c>
      <c r="D4" s="75" t="inlineStr">
        <is>
          <t>Keitumetse Boitumelo Mooketsi (fictional partner identity)</t>
        </is>
      </c>
      <c r="E4" s="75" t="n">
        <v>35</v>
      </c>
      <c r="F4" s="75" t="inlineStr">
        <is>
          <t>Orange_Marketing_Admin</t>
        </is>
      </c>
      <c r="G4" s="75" t="inlineStr">
        <is>
          <t>Corporate Marketing &amp; Enterprise Products Officer</t>
        </is>
      </c>
      <c r="H4" s="75" t="inlineStr">
        <is>
          <t>OR-DEMO-EMP-041</t>
        </is>
      </c>
      <c r="I4" s="75" t="inlineStr">
        <is>
          <t>ORG-ORANGE-DEMO</t>
        </is>
      </c>
      <c r="J4" s="75" t="inlineStr">
        <is>
          <t>Gaborone Corporate Office — demo location label; confirm exact branch</t>
        </is>
      </c>
      <c r="K4" s="75" t="inlineStr">
        <is>
          <t>keitumetse.mooketsi@demo.orange.invalid</t>
        </is>
      </c>
      <c r="L4" s="75" t="inlineStr">
        <is>
          <t>DEMO-PARTNER-OMANG-001 [NOT REAL]</t>
        </is>
      </c>
      <c r="M4" s="75" t="inlineStr">
        <is>
          <t>ROLE_BENEFIT_PARTNER</t>
        </is>
      </c>
      <c r="N4" s="75" t="inlineStr">
        <is>
          <t>Active demo</t>
        </is>
      </c>
      <c r="O4" s="75" t="inlineStr">
        <is>
          <t>WhatsApp + first name + password (demo 1234)</t>
        </is>
      </c>
      <c r="P4" s="75" t="inlineStr">
        <is>
          <t>Draft Orange/BOPEU campaign cards; update own offer copy after review; view assigned CUG-enrolment requests and consented phone/SIM details only.</t>
        </is>
      </c>
      <c r="Q4" s="75" t="inlineStr">
        <is>
          <t>No access to Omang, salary, medical-aid, dependants, SACCOS balances, grievances or unrelated member profile data. No direct database access.</t>
        </is>
      </c>
      <c r="R4" s="75" t="inlineStr">
        <is>
          <t>[{"offer_id": "DEMO-OFFER-OR-01", "name": "BOPEU Member Mobile Plan", "status": "Needs current commercial confirmation", "price_bwp_demo": null, "details": "Offer card placeholder only; do not display a real discounted price until Orange confirms bundle and contract terms."}]</t>
        </is>
      </c>
      <c r="S4" s="75" t="inlineStr">
        <is>
          <t>{"draft_offers": 2, "active_campaigns_demo": 1, "cug_requests_in_queue": 9, "wallet_reconciliation_rows_demo": 0}</t>
        </is>
      </c>
      <c r="T4" s="75" t="inlineStr">
        <is>
          <t>Edited draft offer DEMO-OFFER-OR-01 on 2026-10-24 13:05 (demo)</t>
        </is>
      </c>
      <c r="U4" s="75" t="inlineStr">
        <is>
          <t>Prepares a member-only mobile-plan offer and can process only consented requests assigned to the Orange partner account.</t>
        </is>
      </c>
    </row>
    <row r="5" ht="46" customHeight="1" s="53">
      <c r="A5" s="75" t="inlineStr">
        <is>
          <t>PAR-DEMO-002</t>
        </is>
      </c>
      <c r="B5" s="75" t="inlineStr">
        <is>
          <t>Mascom Wireless Botswana</t>
        </is>
      </c>
      <c r="C5" s="75" t="inlineStr">
        <is>
          <t>Tebogo Ramokate</t>
        </is>
      </c>
      <c r="D5" s="75" t="inlineStr">
        <is>
          <t>Tebogo Neo Ramokate (fictional partner identity)</t>
        </is>
      </c>
      <c r="E5" s="75" t="n">
        <v>39</v>
      </c>
      <c r="F5" s="75" t="inlineStr">
        <is>
          <t>Mascom_Corporate_Agent</t>
        </is>
      </c>
      <c r="G5" s="75" t="inlineStr">
        <is>
          <t>Retail Sales &amp; Corporate Accounts Lead</t>
        </is>
      </c>
      <c r="H5" s="75" t="inlineStr">
        <is>
          <t>MSC-DEMO-EMP-018</t>
        </is>
      </c>
      <c r="I5" s="75" t="inlineStr">
        <is>
          <t>ORG-MASCOM-DEMO</t>
        </is>
      </c>
      <c r="J5" s="75" t="inlineStr">
        <is>
          <t>Francistown Enterprise Desk — demo label; confirm branch</t>
        </is>
      </c>
      <c r="K5" s="75" t="inlineStr">
        <is>
          <t>tebogo.ramokate@demo.mascom.invalid</t>
        </is>
      </c>
      <c r="L5" s="75" t="inlineStr">
        <is>
          <t>DEMO-PARTNER-OMANG-002 [NOT REAL]</t>
        </is>
      </c>
      <c r="M5" s="75" t="inlineStr">
        <is>
          <t>ROLE_BENEFIT_PARTNER</t>
        </is>
      </c>
      <c r="N5" s="75" t="inlineStr">
        <is>
          <t>Active demo</t>
        </is>
      </c>
      <c r="O5" s="75" t="inlineStr">
        <is>
          <t>WhatsApp + first name + password (demo 1234)</t>
        </is>
      </c>
      <c r="P5" s="75" t="inlineStr">
        <is>
          <t>Manage assigned airtime/CUG enquiries and draft member utility offers for BOPEU review; see only consented contact/SIM fields for assigned requests.</t>
        </is>
      </c>
      <c r="Q5" s="75" t="inlineStr">
        <is>
          <t>No member payroll, bank, medical, family, grievance or full profile search. Historical airtime arrangements must not be represented as current terms without confirmation.</t>
        </is>
      </c>
      <c r="R5" s="75" t="inlineStr">
        <is>
          <t>[{"offer_id": "DEMO-OFFER-MSC-01", "name": "Member Airtime / Data Scheme", "status": "Current terms to confirm", "price_bwp_demo": null, "details": "Prior published arrangements are historical. Current bundles, deductions and contract duration require written confirmation."}]</t>
        </is>
      </c>
      <c r="S5" s="75" t="inlineStr">
        <is>
          <t>{"draft_offers": 1, "assigned_cug_requests": 5, "pending_sim_checks": 2, "published_rates": 0}</t>
        </is>
      </c>
      <c r="T5" s="75" t="inlineStr">
        <is>
          <t>Viewed assigned request DEMO-CUG-019 on 2026-10-24 12:18 (demo)</t>
        </is>
      </c>
      <c r="U5" s="75" t="inlineStr">
        <is>
          <t>Handles the local telecom benefit workflow while leaving current pricing and deduction rules subject to documented approval.</t>
        </is>
      </c>
    </row>
    <row r="6" ht="46" customHeight="1" s="53">
      <c r="A6" s="75" t="inlineStr">
        <is>
          <t>PAR-DEMO-003</t>
        </is>
      </c>
      <c r="B6" s="75" t="inlineStr">
        <is>
          <t>Diagnofirm</t>
        </is>
      </c>
      <c r="C6" s="75" t="inlineStr">
        <is>
          <t>Kagiso Nare</t>
        </is>
      </c>
      <c r="D6" s="75" t="inlineStr">
        <is>
          <t>Kagiso Rorisang Nare (fictional partner identity)</t>
        </is>
      </c>
      <c r="E6" s="75" t="n">
        <v>32</v>
      </c>
      <c r="F6" s="75" t="inlineStr">
        <is>
          <t>Diagnofirm_Verification_Agent</t>
        </is>
      </c>
      <c r="G6" s="75" t="inlineStr">
        <is>
          <t>Member Eligibility Verification Agent</t>
        </is>
      </c>
      <c r="H6" s="75" t="inlineStr">
        <is>
          <t>DIA-DEMO-EMP-027</t>
        </is>
      </c>
      <c r="I6" s="75" t="inlineStr">
        <is>
          <t>ORG-DIAGNOFIRM-DEMO</t>
        </is>
      </c>
      <c r="J6" s="75" t="inlineStr">
        <is>
          <t>Gaborone Central — demo branch label; confirm official branch listing</t>
        </is>
      </c>
      <c r="K6" s="75" t="inlineStr">
        <is>
          <t>kagiso.nare@demo.diagnofirm.invalid</t>
        </is>
      </c>
      <c r="L6" s="75" t="inlineStr">
        <is>
          <t>DEMO-PARTNER-OMANG-003 [NOT REAL]</t>
        </is>
      </c>
      <c r="M6" s="75" t="inlineStr">
        <is>
          <t>ROLE_BENEFIT_PARTNER</t>
        </is>
      </c>
      <c r="N6" s="75" t="inlineStr">
        <is>
          <t>Active demo</t>
        </is>
      </c>
      <c r="O6" s="75" t="inlineStr">
        <is>
          <t>WhatsApp + first name + password (demo 1234)</t>
        </is>
      </c>
      <c r="P6" s="75" t="inlineStr">
        <is>
          <t>Submit a member-card / eligibility verification ping; view pass/fail flags and minimum redemption metadata; record service category and timestamp.</t>
        </is>
      </c>
      <c r="Q6" s="75" t="inlineStr">
        <is>
          <t>Must not see medical history, test results, diagnosis, salary, dependants, bank data or grievance records. Member identifier should be tokenised/hashed where feasible.</t>
        </is>
      </c>
      <c r="R6" s="75" t="inlineStr">
        <is>
          <t>[{"offer_id": "DEMO-OFFER-DIA-01", "name": "BOPEU Health &amp; Wellness Access", "status": "Reference says confirmed; operational detail to validate", "price_bwp_demo": null, "details": "Reference describes no 10% patient share and up to 35% off for members without medical aid; confirm eligible services and calculation with partner."}]</t>
        </is>
      </c>
      <c r="S6" s="75" t="inlineStr">
        <is>
          <t>{"eligibility_pings_today_demo": 18, "successful_demo_pings": 15, "manual_review_demo": 3, "redemption_records_demo": 12}</t>
        </is>
      </c>
      <c r="T6" s="75" t="inlineStr">
        <is>
          <t>Returned simulated eligible response for DEMO-VERIFY-PK-01 on 2026-10-25 08:22 (demo)</t>
        </is>
      </c>
      <c r="U6" s="75" t="inlineStr">
        <is>
          <t>The dashboard answers only the eligibility question needed at the front desk and deliberately hides clinical details.</t>
        </is>
      </c>
    </row>
    <row r="7" ht="46" customHeight="1" s="53">
      <c r="A7" s="75" t="inlineStr">
        <is>
          <t>PAR-DEMO-004</t>
        </is>
      </c>
      <c r="B7" s="75" t="inlineStr">
        <is>
          <t>Archein Hardware</t>
        </is>
      </c>
      <c r="C7" s="75" t="inlineStr">
        <is>
          <t>Mpho Garekwe</t>
        </is>
      </c>
      <c r="D7" s="75" t="inlineStr">
        <is>
          <t>Mpho Kabelo Garekwe (fictional partner identity)</t>
        </is>
      </c>
      <c r="E7" s="75" t="n">
        <v>42</v>
      </c>
      <c r="F7" s="75" t="inlineStr">
        <is>
          <t>Archein_Member_Scheme_Manager</t>
        </is>
      </c>
      <c r="G7" s="75" t="inlineStr">
        <is>
          <t>Member Materials Scheme Relationship Manager</t>
        </is>
      </c>
      <c r="H7" s="75" t="inlineStr">
        <is>
          <t>ARC-DEMO-EMP-009</t>
        </is>
      </c>
      <c r="I7" s="75" t="inlineStr">
        <is>
          <t>ORG-ARCHEIN-DEMO</t>
        </is>
      </c>
      <c r="J7" s="75" t="inlineStr">
        <is>
          <t>Gaborone Sales Desk — demo label; confirm current locations</t>
        </is>
      </c>
      <c r="K7" s="75" t="inlineStr">
        <is>
          <t>mpho.garekwe@demo.archein.invalid</t>
        </is>
      </c>
      <c r="L7" s="75" t="inlineStr">
        <is>
          <t>DEMO-PARTNER-OMANG-004 [NOT REAL]</t>
        </is>
      </c>
      <c r="M7" s="75" t="inlineStr">
        <is>
          <t>ROLE_BENEFIT_PARTNER</t>
        </is>
      </c>
      <c r="N7" s="75" t="inlineStr">
        <is>
          <t>Active demo</t>
        </is>
      </c>
      <c r="O7" s="75" t="inlineStr">
        <is>
          <t>WhatsApp + first name + password (demo 1234)</t>
        </is>
      </c>
      <c r="P7" s="75" t="inlineStr">
        <is>
          <t>Review member-authorised materials enquiries, prepare quotations and update assigned application milestones after consent.</t>
        </is>
      </c>
      <c r="Q7" s="75" t="inlineStr">
        <is>
          <t>May see member-selected materials list and consented contact details for assigned applications only. Cannot browse payroll, family cover or full union records.</t>
        </is>
      </c>
      <c r="R7" s="75" t="inlineStr">
        <is>
          <t>[{"offer_id": "DEMO-OFFER-ARC-01", "name": "BOPEU Building-Materials Scheme", "status": "Reference-confirmed summary; final eligibility to verify", "price_bwp_demo": null, "details": "Reference describes up to P200,000 credit, 4% monthly interest on reducing balance, up to 36 months, no deposit and free delivery above P100,000 materials value. Do not imply approval."}]</t>
        </is>
      </c>
      <c r="S7" s="75" t="inlineStr">
        <is>
          <t>{"assigned_quotes_demo": 7, "quotes_waiting_documents": 3, "approved_demo_quotes": 2, "awaiting_member_consent": 1}</t>
        </is>
      </c>
      <c r="T7" s="75" t="inlineStr">
        <is>
          <t>Updated milestone on DEMO-ARC-MP-01 on 2026-10-23 15:44 (demo)</t>
        </is>
      </c>
      <c r="U7" s="75" t="inlineStr">
        <is>
          <t>Turns a member's saved basket into a structured quotation flow, with an explicit consent step and separate approval/underwriting status.</t>
        </is>
      </c>
    </row>
    <row r="8" ht="46" customHeight="1" s="53">
      <c r="A8" s="75" t="inlineStr">
        <is>
          <t>PAR-DEMO-005</t>
        </is>
      </c>
      <c r="B8" s="75" t="inlineStr">
        <is>
          <t>First Capital Bank</t>
        </is>
      </c>
      <c r="C8" s="75" t="inlineStr">
        <is>
          <t>Onalenna Setshwane</t>
        </is>
      </c>
      <c r="D8" s="75" t="inlineStr">
        <is>
          <t>Onalenna Thato Setshwane (fictional partner identity)</t>
        </is>
      </c>
      <c r="E8" s="75" t="n">
        <v>37</v>
      </c>
      <c r="F8" s="75" t="inlineStr">
        <is>
          <t>FirstCapital_Babereki_Facility_Officer</t>
        </is>
      </c>
      <c r="G8" s="75" t="inlineStr">
        <is>
          <t>Babereki Facility Relationship Officer</t>
        </is>
      </c>
      <c r="H8" s="75" t="inlineStr">
        <is>
          <t>FCB-DEMO-EMP-066</t>
        </is>
      </c>
      <c r="I8" s="75" t="inlineStr">
        <is>
          <t>ORG-FIRSTCAPITAL-DEMO</t>
        </is>
      </c>
      <c r="J8" s="75" t="inlineStr">
        <is>
          <t>Gaborone Corporate Banking — demo label; confirm assigned desk</t>
        </is>
      </c>
      <c r="K8" s="75" t="inlineStr">
        <is>
          <t>onalenna.setshwane@demo.firstcapital.invalid</t>
        </is>
      </c>
      <c r="L8" s="75" t="inlineStr">
        <is>
          <t>DEMO-PARTNER-OMANG-005 [NOT REAL]</t>
        </is>
      </c>
      <c r="M8" s="75" t="inlineStr">
        <is>
          <t>ROLE_BENEFIT_PARTNER</t>
        </is>
      </c>
      <c r="N8" s="75" t="inlineStr">
        <is>
          <t>Active demo</t>
        </is>
      </c>
      <c r="O8" s="75" t="inlineStr">
        <is>
          <t>WhatsApp + first name + password (demo 1234)</t>
        </is>
      </c>
      <c r="P8" s="75" t="inlineStr">
        <is>
          <t>Review only member-authorised loan-facility applications routed to the bank; post application milestones; respond to requests for additional documentation.</t>
        </is>
      </c>
      <c r="Q8" s="75" t="inlineStr">
        <is>
          <t>No general member search. Receives only consented application fields and only when the member has initiated the request. No access to grievances or health/dependent data.</t>
        </is>
      </c>
      <c r="R8" s="75" t="inlineStr">
        <is>
          <t>[{"offer_id": "DEMO-OFFER-FCB-01", "name": "Babereki + First Capital Bank Facility", "status": "Reference-confirmed facility announcement; pricing/eligibility to confirm", "price_bwp_demo": null, "details": "Reference cites up to P200,000 and up to 60 months, with qualifying third-party loans potentially cleared within approved limit. Interest, fees and eligibility must be confirmed."}]</t>
        </is>
      </c>
      <c r="S8" s="75" t="inlineStr">
        <is>
          <t>{"assigned_applications_demo": 6, "awaiting_documents": 2, "in_assessment": 3, "decision_ready": 1}</t>
        </is>
      </c>
      <c r="T8" s="75" t="inlineStr">
        <is>
          <t>Opened member-consented application DEMO-FCB-JD-01 on 2026-10-25 09:05 (demo)</t>
        </is>
      </c>
      <c r="U8" s="75" t="inlineStr">
        <is>
          <t>Sees a tightly scoped loan application only after the member actively submits consent, rather than searching the BOPEU membership register.</t>
        </is>
      </c>
    </row>
    <row r="9" ht="46" customHeight="1" s="53">
      <c r="A9" s="79" t="inlineStr">
        <is>
          <t>PAR-DEMO-006</t>
        </is>
      </c>
      <c r="B9" s="79" t="inlineStr">
        <is>
          <t>Cresta Hotels</t>
        </is>
      </c>
      <c r="C9" s="79" t="inlineStr">
        <is>
          <t>Kefilwe Makwati</t>
        </is>
      </c>
      <c r="D9" s="79" t="inlineStr">
        <is>
          <t>Kefilwe Bontle Makwati (fictional partner identity)</t>
        </is>
      </c>
      <c r="E9" s="79" t="n">
        <v>34</v>
      </c>
      <c r="F9" s="79" t="inlineStr">
        <is>
          <t>Cresta_Partner_Reservations_Agent</t>
        </is>
      </c>
      <c r="G9" s="79" t="inlineStr">
        <is>
          <t>Corporate Reservations &amp; Member-Rates Liaison</t>
        </is>
      </c>
      <c r="H9" s="79" t="inlineStr">
        <is>
          <t>CRS-DEMO-EMP-033</t>
        </is>
      </c>
      <c r="I9" s="79" t="inlineStr">
        <is>
          <t>ORG-CRESTA-DEMO</t>
        </is>
      </c>
      <c r="J9" s="79" t="inlineStr">
        <is>
          <t>Cresta Lodge Gaborone — demo assignment; check participating properties</t>
        </is>
      </c>
      <c r="K9" s="79" t="inlineStr">
        <is>
          <t>kefilwe.makwati@demo.cresta.invalid</t>
        </is>
      </c>
      <c r="L9" s="79" t="inlineStr">
        <is>
          <t>DEMO-PARTNER-OMANG-006 [NOT REAL]</t>
        </is>
      </c>
      <c r="M9" s="79" t="inlineStr">
        <is>
          <t>ROLE_BENEFIT_PARTNER</t>
        </is>
      </c>
      <c r="N9" s="79" t="inlineStr">
        <is>
          <t>Active demo</t>
        </is>
      </c>
      <c r="O9" s="79" t="inlineStr">
        <is>
          <t>WhatsApp + first name + password (demo 1234)</t>
        </is>
      </c>
      <c r="P9" s="79" t="inlineStr">
        <is>
          <t>Manage hotel-rate enquiries assigned to participating properties and respond to member-authorised booking requests.</t>
        </is>
      </c>
      <c r="Q9" s="79" t="inlineStr">
        <is>
          <t>No member salary, wallet, medical-aid, dependants or grievance data. No percentage/rate can be published until property list and current member terms are verified.</t>
        </is>
      </c>
      <c r="R9" s="79" t="inlineStr">
        <is>
          <t>[{"offer_id": "DEMO-OFFER-CR-01", "name": "Participating Hotel Special Rates", "status": "Partner service described; property-specific rate to confirm", "price_bwp_demo": null, "details": "Reference says BOPEU lists special member rates at participating hotels but no Cresta-specific percentage or fixed amount was found."}]</t>
        </is>
      </c>
      <c r="S9" s="79" t="inlineStr">
        <is>
          <t>{"booking_enquiries_demo": 11, "awaiting_rate_confirmation": 4, "confirmed_member_bookings_demo": 3, "open_service_questions": 2}</t>
        </is>
      </c>
      <c r="T9" s="79" t="inlineStr">
        <is>
          <t>Updated rate-confirmation task DEMO-HOTEL-004 on 2026-10-24 10:45 (demo)</t>
        </is>
      </c>
      <c r="U9" s="79" t="inlineStr">
        <is>
          <t>Shows an accommodation-benefit pathway without inventing a discount percentage or implying that every property participates.</t>
        </is>
      </c>
    </row>
  </sheetData>
  <mergeCells count="2">
    <mergeCell ref="A1:U1"/>
    <mergeCell ref="A2:U2"/>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Z12"/>
  <sheetViews>
    <sheetView workbookViewId="0">
      <pane ySplit="3" topLeftCell="A4" activePane="bottomLeft" state="frozen"/>
      <selection activeCell="A1" sqref="A1"/>
    </sheetView>
  </sheetViews>
  <sheetFormatPr baseColWidth="8" defaultRowHeight="15"/>
  <cols>
    <col width="38" customWidth="1" style="53" min="1" max="1"/>
    <col width="29" customWidth="1" style="53" min="2" max="2"/>
    <col width="29" customWidth="1" style="53" min="3" max="3"/>
    <col width="42" customWidth="1" style="53" min="4" max="4"/>
    <col width="58" customWidth="1" style="53" min="5" max="5"/>
    <col width="72" customWidth="1" style="53" min="6" max="6"/>
    <col width="58" customWidth="1" style="53" min="7" max="7"/>
    <col width="66" customWidth="1" style="53" min="8" max="8"/>
    <col width="18" customWidth="1" style="53" min="9" max="9"/>
    <col width="60" customWidth="1" style="53" min="10" max="10"/>
  </cols>
  <sheetData>
    <row r="1" ht="30" customHeight="1" s="53">
      <c r="A1" s="83" t="inlineStr">
        <is>
          <t>BOPEU BENEFIT DIRECTORY — VERIFY BEFORE LIVE PUBLICATION</t>
        </is>
      </c>
      <c r="B1" s="55" t="n"/>
      <c r="C1" s="55" t="n"/>
      <c r="D1" s="55" t="n"/>
      <c r="E1" s="55" t="n"/>
      <c r="F1" s="55" t="n"/>
      <c r="G1" s="55" t="n"/>
      <c r="H1" s="55" t="n"/>
      <c r="I1" s="55" t="n"/>
      <c r="J1" s="55" t="n"/>
    </row>
    <row r="2" ht="34" customHeight="1" s="53">
      <c r="A2" s="54" t="inlineStr">
        <is>
          <t>This tab intentionally separates reference-confirmed facts from offers requiring partner confirmation. Reference prepared 22 Sep 2026; recheck live terms before publishing.</t>
        </is>
      </c>
      <c r="B2" s="55" t="n"/>
      <c r="C2" s="55" t="n"/>
      <c r="D2" s="55" t="n"/>
      <c r="E2" s="55" t="n"/>
      <c r="F2" s="55" t="n"/>
      <c r="G2" s="55" t="n"/>
      <c r="H2" s="55" t="n"/>
      <c r="I2" s="55" t="n"/>
      <c r="J2" s="55" t="n"/>
    </row>
    <row r="3" ht="42" customHeight="1" s="53">
      <c r="A3" s="60" t="inlineStr">
        <is>
          <t>Partner</t>
        </is>
      </c>
      <c r="B3" s="60" t="inlineStr">
        <is>
          <t>Category</t>
        </is>
      </c>
      <c r="C3" s="60" t="inlineStr">
        <is>
          <t>Benefit Type</t>
        </is>
      </c>
      <c r="D3" s="60" t="inlineStr">
        <is>
          <t>Headline</t>
        </is>
      </c>
      <c r="E3" s="60" t="inlineStr">
        <is>
          <t>Reference Status</t>
        </is>
      </c>
      <c r="F3" s="60" t="inlineStr">
        <is>
          <t>Member-Facing Summary</t>
        </is>
      </c>
      <c r="G3" s="60" t="inlineStr">
        <is>
          <t>Eligibility</t>
        </is>
      </c>
      <c r="H3" s="60" t="inlineStr">
        <is>
          <t>Terms / Publication Note</t>
        </is>
      </c>
      <c r="I3" s="60" t="inlineStr">
        <is>
          <t>Last Reference Check</t>
        </is>
      </c>
      <c r="J3" s="60" t="inlineStr">
        <is>
          <t>Source URL</t>
        </is>
      </c>
      <c r="K3" s="90" t="n"/>
      <c r="L3" s="90" t="n"/>
      <c r="M3" s="90" t="n"/>
      <c r="N3" s="90" t="n"/>
      <c r="O3" s="90" t="n"/>
      <c r="P3" s="90" t="n"/>
      <c r="Q3" s="90" t="n"/>
      <c r="R3" s="90" t="n"/>
      <c r="S3" s="90" t="n"/>
      <c r="T3" s="90" t="n"/>
      <c r="U3" s="90" t="n"/>
      <c r="V3" s="90" t="n"/>
      <c r="W3" s="90" t="n"/>
      <c r="X3" s="90" t="n"/>
      <c r="Y3" s="90" t="n"/>
      <c r="Z3" s="90" t="n"/>
      <c r="AA3" s="90" t="n"/>
      <c r="AB3" s="90" t="n"/>
      <c r="AC3" s="90" t="n"/>
      <c r="AD3" s="90" t="n"/>
      <c r="AE3" s="90" t="n"/>
      <c r="AF3" s="90" t="n"/>
      <c r="AG3" s="90" t="n"/>
      <c r="AH3" s="90" t="n"/>
      <c r="AI3" s="90" t="n"/>
      <c r="AJ3" s="90" t="n"/>
      <c r="AK3" s="90" t="n"/>
      <c r="AL3" s="90" t="n"/>
      <c r="AM3" s="90" t="n"/>
      <c r="AN3" s="90" t="n"/>
      <c r="AO3" s="90" t="n"/>
      <c r="AP3" s="90" t="n"/>
      <c r="AQ3" s="90" t="n"/>
      <c r="AR3" s="90" t="n"/>
      <c r="AS3" s="90" t="n"/>
      <c r="AT3" s="90" t="n"/>
      <c r="AU3" s="90" t="n"/>
      <c r="AV3" s="90" t="n"/>
      <c r="AW3" s="90" t="n"/>
      <c r="AX3" s="90" t="n"/>
      <c r="AY3" s="90" t="n"/>
      <c r="AZ3" s="90" t="n"/>
    </row>
    <row r="4" ht="46" customHeight="1" s="53">
      <c r="A4" s="75" t="inlineStr">
        <is>
          <t>Diagnofirm</t>
        </is>
      </c>
      <c r="B4" s="75" t="inlineStr">
        <is>
          <t>Health &amp; Diagnostics</t>
        </is>
      </c>
      <c r="C4" s="75" t="inlineStr">
        <is>
          <t>Eligibility / service saving</t>
        </is>
      </c>
      <c r="D4" s="75" t="inlineStr">
        <is>
          <t>Member health and diagnostic access</t>
        </is>
      </c>
      <c r="E4" s="75" t="inlineStr">
        <is>
          <t>Confirmed in BOPEU reference; current operational details to verify</t>
        </is>
      </c>
      <c r="F4" s="75" t="inlineStr">
        <is>
          <t>Reference states no 10% patient share and up to 35% off for members without medical aid; listed related savings include Virgin Active 10% and Penalty Box 15%.</t>
        </is>
      </c>
      <c r="G4" s="75" t="inlineStr">
        <is>
          <t>Valid BOPEU membership card; qualifying service and medical-aid status may affect application.</t>
        </is>
      </c>
      <c r="H4" s="75" t="inlineStr">
        <is>
          <t>Do not imply every test qualifies or promise a clinical outcome. Validate current terms and the meaning of the patient-share waiver.</t>
        </is>
      </c>
      <c r="I4" s="75" t="inlineStr">
        <is>
          <t>2026-09-22</t>
        </is>
      </c>
      <c r="J4" s="75" t="inlineStr">
        <is>
          <t>https://bopeu.org.bw/</t>
        </is>
      </c>
    </row>
    <row r="5" ht="46" customHeight="1" s="53">
      <c r="A5" s="75" t="inlineStr">
        <is>
          <t>Archein Hardware</t>
        </is>
      </c>
      <c r="B5" s="75" t="inlineStr">
        <is>
          <t>Building Materials / Credit</t>
        </is>
      </c>
      <c r="C5" s="75" t="inlineStr">
        <is>
          <t>Subsidised materials credit</t>
        </is>
      </c>
      <c r="D5" s="75" t="inlineStr">
        <is>
          <t>Up to P200,000 building-materials credit</t>
        </is>
      </c>
      <c r="E5" s="75" t="inlineStr">
        <is>
          <t>Confirmed in BOPEU reference; individual approval required</t>
        </is>
      </c>
      <c r="F5" s="75" t="inlineStr">
        <is>
          <t>Reference describes up to P200,000 credit, 4% monthly interest on reducing balance, up to 36 months, no deposit and free delivery above P100,000 materials value.</t>
        </is>
      </c>
      <c r="G5" s="75" t="inlineStr">
        <is>
          <t>Application, credit assessment and affordability requirements apply; terms and delivery eligibility to be confirmed with scheme.</t>
        </is>
      </c>
      <c r="H5" s="75" t="inlineStr">
        <is>
          <t>Label credit separately from a discount. Never show as pre-approved just because a member viewed the card.</t>
        </is>
      </c>
      <c r="I5" s="75" t="inlineStr">
        <is>
          <t>2026-09-22</t>
        </is>
      </c>
      <c r="J5" s="75" t="inlineStr">
        <is>
          <t>https://www.bopeu.org.bw/material_schemes.php</t>
        </is>
      </c>
    </row>
    <row r="6" ht="46" customHeight="1" s="53">
      <c r="A6" s="75" t="inlineStr">
        <is>
          <t>First Capital Bank / Babereki Investments</t>
        </is>
      </c>
      <c r="B6" s="75" t="inlineStr">
        <is>
          <t>Finance / Lending</t>
        </is>
      </c>
      <c r="C6" s="75" t="inlineStr">
        <is>
          <t>Member-linked loan facility</t>
        </is>
      </c>
      <c r="D6" s="75" t="inlineStr">
        <is>
          <t>Facility up to P200,000; up to 60 months</t>
        </is>
      </c>
      <c r="E6" s="75" t="inlineStr">
        <is>
          <t>Reference-confirmed facility announcement; pricing/eligibility to verify</t>
        </is>
      </c>
      <c r="F6" s="75" t="inlineStr">
        <is>
          <t>Reference cites up to P200,000 and up to 60 months; qualifying third-party loans may be cleared within the approved limit.</t>
        </is>
      </c>
      <c r="G6" s="75" t="inlineStr">
        <is>
          <t>Subject to current programme rules, affordability, interest, fees, documentation and credit decision.</t>
        </is>
      </c>
      <c r="H6" s="75" t="inlineStr">
        <is>
          <t>Do not state a rate, fee or eligibility promise unless currently confirmed in writing.</t>
        </is>
      </c>
      <c r="I6" s="75" t="inlineStr">
        <is>
          <t>2026-09-22</t>
        </is>
      </c>
      <c r="J6" s="75" t="inlineStr">
        <is>
          <t>https://www.financial1000.com/BW/Gaborone/295631403628503/Babereki-Investments</t>
        </is>
      </c>
    </row>
    <row r="7" ht="46" customHeight="1" s="53">
      <c r="A7" s="75" t="inlineStr">
        <is>
          <t>BOPEU Educational Bursary Scheme</t>
        </is>
      </c>
      <c r="B7" s="75" t="inlineStr">
        <is>
          <t>Education / Welfare</t>
        </is>
      </c>
      <c r="C7" s="75" t="inlineStr">
        <is>
          <t>Interest-free financial assistance</t>
        </is>
      </c>
      <c r="D7" s="75" t="inlineStr">
        <is>
          <t>Up to P30,000; up to 24 months</t>
        </is>
      </c>
      <c r="E7" s="75" t="inlineStr">
        <is>
          <t>Reference-confirmed programme summary; verify current cycle requirements</t>
        </is>
      </c>
      <c r="F7" s="75" t="inlineStr">
        <is>
          <t>Reference describes interest-free educational assistance for tuition, study accommodation, books/materials and research costs, up to P30,000 with repayment up to 24 months.</t>
        </is>
      </c>
      <c r="G7" s="75" t="inlineStr">
        <is>
          <t>Active BOPEU membership for at least six months and ability to repay; application and school verification required.</t>
        </is>
      </c>
      <c r="H7" s="75" t="inlineStr">
        <is>
          <t>Show requested, under review, approved or declined as distinct states. Do not imply application equals approval.</t>
        </is>
      </c>
      <c r="I7" s="75" t="inlineStr">
        <is>
          <t>2026-09-22</t>
        </is>
      </c>
      <c r="J7" s="75" t="inlineStr">
        <is>
          <t>https://www.bopeu.org.bw/educational-bursaries.php</t>
        </is>
      </c>
    </row>
    <row r="8" ht="46" customHeight="1" s="53">
      <c r="A8" s="75" t="inlineStr">
        <is>
          <t>Mascom Wireless Botswana</t>
        </is>
      </c>
      <c r="B8" s="75" t="inlineStr">
        <is>
          <t>Telecom / Mobile Money</t>
        </is>
      </c>
      <c r="C8" s="75" t="inlineStr">
        <is>
          <t>Airtime / data / CUG scheme</t>
        </is>
      </c>
      <c r="D8" s="75" t="inlineStr">
        <is>
          <t>Member utility offer — current terms pending</t>
        </is>
      </c>
      <c r="E8" s="75" t="inlineStr">
        <is>
          <t>Historical arrangement referenced; current terms to confirm</t>
        </is>
      </c>
      <c r="F8" s="75" t="inlineStr">
        <is>
          <t>The source describes older airtime-contract arrangements but explicitly warns that exact prices, salary deductions and term lengths are historical.</t>
        </is>
      </c>
      <c r="G8" s="75" t="inlineStr">
        <is>
          <t>Subject to current partner agreement, plan availability and member consent.</t>
        </is>
      </c>
      <c r="H8" s="75" t="inlineStr">
        <is>
          <t>Do not reuse historical P65–P400 deduction bands, two-year contract length or handset conditions as current.</t>
        </is>
      </c>
      <c r="I8" s="75" t="inlineStr">
        <is>
          <t>2026-09-22</t>
        </is>
      </c>
      <c r="J8" s="75" t="inlineStr">
        <is>
          <t>https://bopeu.org.bw/</t>
        </is>
      </c>
    </row>
    <row r="9" ht="46" customHeight="1" s="53">
      <c r="A9" s="75" t="inlineStr">
        <is>
          <t>Orange Botswana</t>
        </is>
      </c>
      <c r="B9" s="75" t="inlineStr">
        <is>
          <t>Telecom / Mobile Money</t>
        </is>
      </c>
      <c r="C9" s="75" t="inlineStr">
        <is>
          <t>Airtime / data / CUG / mobile plan</t>
        </is>
      </c>
      <c r="D9" s="75" t="inlineStr">
        <is>
          <t>Member mobile-plan offer — partner confirmation required</t>
        </is>
      </c>
      <c r="E9" s="75" t="inlineStr">
        <is>
          <t>Historical arrangement referenced; current terms to confirm</t>
        </is>
      </c>
      <c r="F9" s="75" t="inlineStr">
        <is>
          <t>Reference describes Orange services including mobile plans, Orange Money and connectivity. Current BOPEU-specific bundle prices were not verified.</t>
        </is>
      </c>
      <c r="G9" s="75" t="inlineStr">
        <is>
          <t>Subject to an active current agreement and individual plan terms.</t>
        </is>
      </c>
      <c r="H9" s="75" t="inlineStr">
        <is>
          <t>Leave the displayed price blank until the partner gives written, effective-dated terms.</t>
        </is>
      </c>
      <c r="I9" s="75" t="inlineStr">
        <is>
          <t>2026-09-22</t>
        </is>
      </c>
      <c r="J9" s="75" t="inlineStr">
        <is>
          <t>https://bopeu.org.bw/</t>
        </is>
      </c>
    </row>
    <row r="10" ht="46" customHeight="1" s="53">
      <c r="A10" s="75" t="inlineStr">
        <is>
          <t>Cresta Hotels</t>
        </is>
      </c>
      <c r="B10" s="75" t="inlineStr">
        <is>
          <t>Hospitality / Accommodation</t>
        </is>
      </c>
      <c r="C10" s="75" t="inlineStr">
        <is>
          <t>Member rate</t>
        </is>
      </c>
      <c r="D10" s="75" t="inlineStr">
        <is>
          <t>Special rates at participating hotels — details pending</t>
        </is>
      </c>
      <c r="E10" s="75" t="inlineStr">
        <is>
          <t>General service described; Cresta-specific rate not publicly verified in reference</t>
        </is>
      </c>
      <c r="F10" s="75" t="inlineStr">
        <is>
          <t>Reference notes BOPEU states special rates at selected hotels, but no Cresta-specific percentage or fixed amount was located.</t>
        </is>
      </c>
      <c r="G10" s="75" t="inlineStr">
        <is>
          <t>Confirm participating properties, room categories, blackout dates and booking/verifier requirements.</t>
        </is>
      </c>
      <c r="H10" s="75" t="inlineStr">
        <is>
          <t>Do not invent a 10%, 15% or fixed-price discount.</t>
        </is>
      </c>
      <c r="I10" s="75" t="inlineStr">
        <is>
          <t>2026-09-22</t>
        </is>
      </c>
      <c r="J10" s="75" t="inlineStr">
        <is>
          <t>https://bopeu.org.bw/</t>
        </is>
      </c>
    </row>
    <row r="11" ht="46" customHeight="1" s="53">
      <c r="A11" s="75" t="inlineStr">
        <is>
          <t>AcuDetox</t>
        </is>
      </c>
      <c r="B11" s="75" t="inlineStr">
        <is>
          <t>Health &amp; Wellness</t>
        </is>
      </c>
      <c r="C11" s="75" t="inlineStr">
        <is>
          <t>Wellness service</t>
        </is>
      </c>
      <c r="D11" s="75" t="inlineStr">
        <is>
          <t>Member wellness information — discount unconfirmed</t>
        </is>
      </c>
      <c r="E11" s="75" t="inlineStr">
        <is>
          <t>Partnership messaging referenced; numerical offer not verified</t>
        </is>
      </c>
      <c r="F11" s="75" t="inlineStr">
        <is>
          <t>Reference says public messaging describes a wellness partnership but no numerical AcuDetox discount was found.</t>
        </is>
      </c>
      <c r="G11" s="75" t="inlineStr">
        <is>
          <t>Confirm service access, eligible members, location and current offer terms.</t>
        </is>
      </c>
      <c r="H11" s="75" t="inlineStr">
        <is>
          <t>Do not claim a percentage saving until BOPEU/partner confirms it.</t>
        </is>
      </c>
      <c r="I11" s="75" t="inlineStr">
        <is>
          <t>2026-09-22</t>
        </is>
      </c>
      <c r="J11" s="75" t="inlineStr">
        <is>
          <t>https://bopeu.org.bw/</t>
        </is>
      </c>
    </row>
    <row r="12" ht="46" customHeight="1" s="53">
      <c r="A12" s="79" t="inlineStr">
        <is>
          <t>Old Mutual / Babereki insurance pathway</t>
        </is>
      </c>
      <c r="B12" s="79" t="inlineStr">
        <is>
          <t>Insurance</t>
        </is>
      </c>
      <c r="C12" s="79" t="inlineStr">
        <is>
          <t>Motor / household contents / gadgets / business cover</t>
        </is>
      </c>
      <c r="D12" s="79" t="inlineStr">
        <is>
          <t>Insurance enquiry — current availability and pricing to verify</t>
        </is>
      </c>
      <c r="E12" s="79" t="inlineStr">
        <is>
          <t>Historical collaboration documented; current terms to confirm</t>
        </is>
      </c>
      <c r="F12" s="79" t="inlineStr">
        <is>
          <t>Reference cites a 2022 collaboration report for contents, gadgets, cars and business cover, but current premiums and terms were not confirmed.</t>
        </is>
      </c>
      <c r="G12" s="79" t="inlineStr">
        <is>
          <t>Subject to current partnership, underwriting, excesses, exclusions and quote.</t>
        </is>
      </c>
      <c r="H12" s="79" t="inlineStr">
        <is>
          <t>Show quote requested/quote received/policy active only when the relevant workflow verifies it.</t>
        </is>
      </c>
      <c r="I12" s="79" t="inlineStr">
        <is>
          <t>2026-09-22</t>
        </is>
      </c>
      <c r="J12" s="79" t="inlineStr">
        <is>
          <t>https://dailynews.gov.bw/common_up/dailynews/dailynews_pdf/26-07-2022_07-46-09_1658814369_dailynews_pdf.pdf</t>
        </is>
      </c>
    </row>
  </sheetData>
  <mergeCells count="2">
    <mergeCell ref="A1:J1"/>
    <mergeCell ref="A2:J2"/>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AZ21"/>
  <sheetViews>
    <sheetView workbookViewId="0">
      <pane ySplit="3" topLeftCell="A4" activePane="bottomLeft" state="frozen"/>
      <selection activeCell="A1" sqref="A1"/>
    </sheetView>
  </sheetViews>
  <sheetFormatPr baseColWidth="8" defaultRowHeight="15"/>
  <cols>
    <col width="28" customWidth="1" style="53" min="1" max="1"/>
    <col width="26" customWidth="1" style="53" min="2" max="2"/>
    <col width="28" customWidth="1" style="53" min="3" max="3"/>
    <col width="40" customWidth="1" style="53" min="4" max="4"/>
    <col width="34" customWidth="1" style="53" min="5" max="5"/>
    <col width="46" customWidth="1" style="53" min="6" max="6"/>
    <col width="48" customWidth="1" style="53" min="7" max="7"/>
    <col width="18" customWidth="1" style="53" min="8" max="8"/>
    <col width="72" customWidth="1" style="53" min="9" max="9"/>
  </cols>
  <sheetData>
    <row r="1" ht="30" customHeight="1" s="53">
      <c r="A1" s="83" t="inlineStr">
        <is>
          <t>DEMO TIMELINE, NOTICES, CASES &amp; PARTNER WORKFLOWS</t>
        </is>
      </c>
      <c r="B1" s="55" t="n"/>
      <c r="C1" s="55" t="n"/>
      <c r="D1" s="55" t="n"/>
      <c r="E1" s="55" t="n"/>
      <c r="F1" s="55" t="n"/>
      <c r="G1" s="55" t="n"/>
      <c r="H1" s="55" t="n"/>
      <c r="I1" s="55" t="n"/>
    </row>
    <row r="2" ht="34" customHeight="1" s="53">
      <c r="A2" s="54" t="inlineStr">
        <is>
          <t>All content, dates, cases, offers, and workflow counts here are fictional. Keep a visible DEMO label in the live prototype to avoid confusion with official union notices.</t>
        </is>
      </c>
      <c r="B2" s="55" t="n"/>
      <c r="C2" s="55" t="n"/>
      <c r="D2" s="55" t="n"/>
      <c r="E2" s="55" t="n"/>
      <c r="F2" s="55" t="n"/>
      <c r="G2" s="55" t="n"/>
      <c r="H2" s="55" t="n"/>
      <c r="I2" s="55" t="n"/>
    </row>
    <row r="3" ht="42" customHeight="1" s="53">
      <c r="A3" s="60" t="inlineStr">
        <is>
          <t>Activity ID</t>
        </is>
      </c>
      <c r="B3" s="60" t="inlineStr">
        <is>
          <t>Record Type</t>
        </is>
      </c>
      <c r="C3" s="60" t="inlineStr">
        <is>
          <t>Reference ID (DEMO)</t>
        </is>
      </c>
      <c r="D3" s="60" t="inlineStr">
        <is>
          <t>Title</t>
        </is>
      </c>
      <c r="E3" s="60" t="inlineStr">
        <is>
          <t>Owner / Record ID</t>
        </is>
      </c>
      <c r="F3" s="60" t="inlineStr">
        <is>
          <t>Audience / Scope</t>
        </is>
      </c>
      <c r="G3" s="60" t="inlineStr">
        <is>
          <t>Status</t>
        </is>
      </c>
      <c r="H3" s="60" t="inlineStr">
        <is>
          <t>Date</t>
        </is>
      </c>
      <c r="I3" s="60" t="inlineStr">
        <is>
          <t>Description / Demo Note</t>
        </is>
      </c>
      <c r="J3" s="90" t="n"/>
      <c r="K3" s="90" t="n"/>
      <c r="L3" s="90" t="n"/>
      <c r="M3" s="90" t="n"/>
      <c r="N3" s="90" t="n"/>
      <c r="O3" s="90" t="n"/>
      <c r="P3" s="90" t="n"/>
      <c r="Q3" s="90" t="n"/>
      <c r="R3" s="90" t="n"/>
      <c r="S3" s="90" t="n"/>
      <c r="T3" s="90" t="n"/>
      <c r="U3" s="90" t="n"/>
      <c r="V3" s="90" t="n"/>
      <c r="W3" s="90" t="n"/>
      <c r="X3" s="90" t="n"/>
      <c r="Y3" s="90" t="n"/>
      <c r="Z3" s="90" t="n"/>
      <c r="AA3" s="90" t="n"/>
      <c r="AB3" s="90" t="n"/>
      <c r="AC3" s="90" t="n"/>
      <c r="AD3" s="90" t="n"/>
      <c r="AE3" s="90" t="n"/>
      <c r="AF3" s="90" t="n"/>
      <c r="AG3" s="90" t="n"/>
      <c r="AH3" s="90" t="n"/>
      <c r="AI3" s="90" t="n"/>
      <c r="AJ3" s="90" t="n"/>
      <c r="AK3" s="90" t="n"/>
      <c r="AL3" s="90" t="n"/>
      <c r="AM3" s="90" t="n"/>
      <c r="AN3" s="90" t="n"/>
      <c r="AO3" s="90" t="n"/>
      <c r="AP3" s="90" t="n"/>
      <c r="AQ3" s="90" t="n"/>
      <c r="AR3" s="90" t="n"/>
      <c r="AS3" s="90" t="n"/>
      <c r="AT3" s="90" t="n"/>
      <c r="AU3" s="90" t="n"/>
      <c r="AV3" s="90" t="n"/>
      <c r="AW3" s="90" t="n"/>
      <c r="AX3" s="90" t="n"/>
      <c r="AY3" s="90" t="n"/>
      <c r="AZ3" s="90" t="n"/>
    </row>
    <row r="4" ht="46" customHeight="1" s="53">
      <c r="A4" s="75" t="inlineStr">
        <is>
          <t>ACT-DEMO-001</t>
        </is>
      </c>
      <c r="B4" s="75" t="inlineStr">
        <is>
          <t>Timeline post</t>
        </is>
      </c>
      <c r="C4" s="75" t="inlineStr">
        <is>
          <t>DEMO-CONTENT-001</t>
        </is>
      </c>
      <c r="D4" s="75" t="inlineStr">
        <is>
          <t>Public Service Wellness Week — member reminder</t>
        </is>
      </c>
      <c r="E4" s="75" t="inlineStr">
        <is>
          <t>STF-DEMO-001</t>
        </is>
      </c>
      <c r="F4" s="75" t="inlineStr">
        <is>
          <t>All demo members</t>
        </is>
      </c>
      <c r="G4" s="75" t="inlineStr">
        <is>
          <t>Scheduled — demo only</t>
        </is>
      </c>
      <c r="H4" s="75" t="inlineStr">
        <is>
          <t>2026-10-28</t>
        </is>
      </c>
      <c r="I4" s="75" t="inlineStr">
        <is>
          <t>Illustrative wellness reminder with a link to health-benefit information. Not an official BOPEU announcement.</t>
        </is>
      </c>
    </row>
    <row r="5" ht="46" customHeight="1" s="53">
      <c r="A5" s="75" t="inlineStr">
        <is>
          <t>ACT-DEMO-002</t>
        </is>
      </c>
      <c r="B5" s="75" t="inlineStr">
        <is>
          <t>Noticeboard</t>
        </is>
      </c>
      <c r="C5" s="75" t="inlineStr">
        <is>
          <t>DEMO-NOTICE-002</t>
        </is>
      </c>
      <c r="D5" s="75" t="inlineStr">
        <is>
          <t>Francistown member help desk: understanding check-off lines</t>
        </is>
      </c>
      <c r="E5" s="75" t="inlineStr">
        <is>
          <t>STF-DEMO-005</t>
        </is>
      </c>
      <c r="F5" s="75" t="inlineStr">
        <is>
          <t>North-East region demo audience</t>
        </is>
      </c>
      <c r="G5" s="75" t="inlineStr">
        <is>
          <t>Draft awaiting approval — demo only</t>
        </is>
      </c>
      <c r="H5" s="75" t="inlineStr">
        <is>
          <t>2026-11-04</t>
        </is>
      </c>
      <c r="I5" s="75" t="inlineStr">
        <is>
          <t>Sample regional clinic with document checklist and attendance registration. Date and event are fictitious.</t>
        </is>
      </c>
    </row>
    <row r="6" ht="46" customHeight="1" s="53">
      <c r="A6" s="75" t="inlineStr">
        <is>
          <t>ACT-DEMO-003</t>
        </is>
      </c>
      <c r="B6" s="75" t="inlineStr">
        <is>
          <t>Document vault</t>
        </is>
      </c>
      <c r="C6" s="75" t="inlineStr">
        <is>
          <t>DEMO-DOC-003</t>
        </is>
      </c>
      <c r="D6" s="75" t="inlineStr">
        <is>
          <t>Member Guide to Benefit Applications.pdf</t>
        </is>
      </c>
      <c r="E6" s="75" t="inlineStr">
        <is>
          <t>STF-DEMO-001</t>
        </is>
      </c>
      <c r="F6" s="75" t="inlineStr">
        <is>
          <t>All members</t>
        </is>
      </c>
      <c r="G6" s="75" t="inlineStr">
        <is>
          <t>Published in demo vault</t>
        </is>
      </c>
      <c r="H6" s="75" t="inlineStr">
        <is>
          <t>2026-10-15</t>
        </is>
      </c>
      <c r="I6" s="75" t="inlineStr">
        <is>
          <t>Synthetic sample PDF record; storage URL is intentionally omitted. Shows category, version, download count and last-reviewed date.</t>
        </is>
      </c>
    </row>
    <row r="7" ht="46" customHeight="1" s="53">
      <c r="A7" s="75" t="inlineStr">
        <is>
          <t>ACT-DEMO-004</t>
        </is>
      </c>
      <c r="B7" s="75" t="inlineStr">
        <is>
          <t>Grievance</t>
        </is>
      </c>
      <c r="C7" s="75" t="inlineStr">
        <is>
          <t>DEMO-GRV-2026-041</t>
        </is>
      </c>
      <c r="D7" s="75" t="inlineStr">
        <is>
          <t>Shift / overtime allowance discrepancy</t>
        </is>
      </c>
      <c r="E7" s="75" t="inlineStr">
        <is>
          <t>STF-DEMO-006</t>
        </is>
      </c>
      <c r="F7" s="75" t="inlineStr">
        <is>
          <t>Assigned legal team + submitting member</t>
        </is>
      </c>
      <c r="G7" s="75" t="inlineStr">
        <is>
          <t>Assigned — demo only</t>
        </is>
      </c>
      <c r="H7" s="75" t="inlineStr">
        <is>
          <t>2026-10-20</t>
        </is>
      </c>
      <c r="I7" s="75" t="inlineStr">
        <is>
          <t>Linked to Kabelo Modise. Fictional case. Case file access restricted to assigned legal staff.</t>
        </is>
      </c>
    </row>
    <row r="8" ht="46" customHeight="1" s="53">
      <c r="A8" s="75" t="inlineStr">
        <is>
          <t>ACT-DEMO-005</t>
        </is>
      </c>
      <c r="B8" s="75" t="inlineStr">
        <is>
          <t>Grievance</t>
        </is>
      </c>
      <c r="C8" s="75" t="inlineStr">
        <is>
          <t>DEMO-GRV-2026-044</t>
        </is>
      </c>
      <c r="D8" s="75" t="inlineStr">
        <is>
          <t>Payroll / transfer reconciliation</t>
        </is>
      </c>
      <c r="E8" s="75" t="inlineStr">
        <is>
          <t>STF-DEMO-003</t>
        </is>
      </c>
      <c r="F8" s="75" t="inlineStr">
        <is>
          <t>Member + finance staff only</t>
        </is>
      </c>
      <c r="G8" s="75" t="inlineStr">
        <is>
          <t>Finance review — demo only</t>
        </is>
      </c>
      <c r="H8" s="75" t="inlineStr">
        <is>
          <t>2026-10-22</t>
        </is>
      </c>
      <c r="I8" s="75" t="inlineStr">
        <is>
          <t>Linked to James Dudumang. Demonstrates reassignment after employer-code or location transfer.</t>
        </is>
      </c>
    </row>
    <row r="9" ht="46" customHeight="1" s="53">
      <c r="A9" s="75" t="inlineStr">
        <is>
          <t>ACT-DEMO-006</t>
        </is>
      </c>
      <c r="B9" s="75" t="inlineStr">
        <is>
          <t>Application</t>
        </is>
      </c>
      <c r="C9" s="75" t="inlineStr">
        <is>
          <t>DEMO-BUR-2026-018</t>
        </is>
      </c>
      <c r="D9" s="75" t="inlineStr">
        <is>
          <t>Educational assistance request</t>
        </is>
      </c>
      <c r="E9" s="75" t="inlineStr">
        <is>
          <t>STF-DEMO-004</t>
        </is>
      </c>
      <c r="F9" s="75" t="inlineStr">
        <is>
          <t>Member + assigned welfare processor</t>
        </is>
      </c>
      <c r="G9" s="75" t="inlineStr">
        <is>
          <t>Under review — school verification outstanding</t>
        </is>
      </c>
      <c r="H9" s="75" t="inlineStr">
        <is>
          <t>2026-10-06</t>
        </is>
      </c>
      <c r="I9" s="75" t="inlineStr">
        <is>
          <t>Linked to Mercy Peters; requested P18,500 (synthetic). This is not an approval or a promise of funding.</t>
        </is>
      </c>
    </row>
    <row r="10" ht="46" customHeight="1" s="53">
      <c r="A10" s="75" t="inlineStr">
        <is>
          <t>ACT-DEMO-007</t>
        </is>
      </c>
      <c r="B10" s="75" t="inlineStr">
        <is>
          <t>Insurance quote</t>
        </is>
      </c>
      <c r="C10" s="75" t="inlineStr">
        <is>
          <t>DEMO-QUOTE-JM-01</t>
        </is>
      </c>
      <c r="D10" s="75" t="inlineStr">
        <is>
          <t>Motor cover quotation</t>
        </is>
      </c>
      <c r="E10" s="75" t="inlineStr">
        <is>
          <t>STF-DEMO-004</t>
        </is>
      </c>
      <c r="F10" s="75" t="inlineStr">
        <is>
          <t>Member + authorised Babereki service staff</t>
        </is>
      </c>
      <c r="G10" s="75" t="inlineStr">
        <is>
          <t>Awaiting quote</t>
        </is>
      </c>
      <c r="H10" s="75" t="inlineStr">
        <is>
          <t>2026-10-14</t>
        </is>
      </c>
      <c r="I10" s="75" t="inlineStr">
        <is>
          <t>Linked to Jackson Michaels. Mock quote request; underwriting and pricing have not occurred.</t>
        </is>
      </c>
    </row>
    <row r="11" ht="46" customHeight="1" s="53">
      <c r="A11" s="75" t="inlineStr">
        <is>
          <t>ACT-DEMO-008</t>
        </is>
      </c>
      <c r="B11" s="75" t="inlineStr">
        <is>
          <t>Content submission</t>
        </is>
      </c>
      <c r="C11" s="75" t="inlineStr">
        <is>
          <t>DEMO-SUB-008</t>
        </is>
      </c>
      <c r="D11" s="75" t="inlineStr">
        <is>
          <t>Kanye branch meeting photo</t>
        </is>
      </c>
      <c r="E11" s="75" t="inlineStr">
        <is>
          <t>STF-DEMO-002</t>
        </is>
      </c>
      <c r="F11" s="75" t="inlineStr">
        <is>
          <t>Sales/client-services moderation queue</t>
        </is>
      </c>
      <c r="G11" s="75" t="inlineStr">
        <is>
          <t>Pending moderation</t>
        </is>
      </c>
      <c r="H11" s="75" t="inlineStr">
        <is>
          <t>2026-10-23</t>
        </is>
      </c>
      <c r="I11" s="75" t="inlineStr">
        <is>
          <t>Linked to Patricia Kgaope. Demo attachment path omitted; moderation allows approve/reject and a reason note.</t>
        </is>
      </c>
    </row>
    <row r="12" ht="46" customHeight="1" s="53">
      <c r="A12" s="75" t="inlineStr">
        <is>
          <t>ACT-DEMO-009</t>
        </is>
      </c>
      <c r="B12" s="75" t="inlineStr">
        <is>
          <t>CUG request</t>
        </is>
      </c>
      <c r="C12" s="75" t="inlineStr">
        <is>
          <t>DEMO-CUG-019</t>
        </is>
      </c>
      <c r="D12" s="75" t="inlineStr">
        <is>
          <t>Member mobile-plan enquiry</t>
        </is>
      </c>
      <c r="E12" s="75" t="inlineStr">
        <is>
          <t>PAR-DEMO-002</t>
        </is>
      </c>
      <c r="F12" s="75" t="inlineStr">
        <is>
          <t>Assigned Mascom partner agent + consenting member</t>
        </is>
      </c>
      <c r="G12" s="75" t="inlineStr">
        <is>
          <t>Waiting for member consent</t>
        </is>
      </c>
      <c r="H12" s="75" t="inlineStr">
        <is>
          <t>2026-10-24</t>
        </is>
      </c>
      <c r="I12" s="75" t="inlineStr">
        <is>
          <t>Only masked contact and requested plan are visible. No live SIM activation or telecom API is connected.</t>
        </is>
      </c>
    </row>
    <row r="13" ht="46" customHeight="1" s="53">
      <c r="A13" s="75" t="inlineStr">
        <is>
          <t>ACT-DEMO-010</t>
        </is>
      </c>
      <c r="B13" s="75" t="inlineStr">
        <is>
          <t>Partner eligibility ping</t>
        </is>
      </c>
      <c r="C13" s="75" t="inlineStr">
        <is>
          <t>DEMO-VERIFY-PK-01</t>
        </is>
      </c>
      <c r="D13" s="75" t="inlineStr">
        <is>
          <t>Diagnofirm membership verification</t>
        </is>
      </c>
      <c r="E13" s="75" t="inlineStr">
        <is>
          <t>PAR-DEMO-003</t>
        </is>
      </c>
      <c r="F13" s="75" t="inlineStr">
        <is>
          <t>Diagnofirm verification agent + eligibility service</t>
        </is>
      </c>
      <c r="G13" s="75" t="inlineStr">
        <is>
          <t>Demo eligible response</t>
        </is>
      </c>
      <c r="H13" s="75" t="inlineStr">
        <is>
          <t>2026-10-25</t>
        </is>
      </c>
      <c r="I13" s="75" t="inlineStr">
        <is>
          <t>Returns active-member / medical-aid-verification flags only; no medical history or test results are exposed.</t>
        </is>
      </c>
    </row>
    <row r="14" ht="46" customHeight="1" s="53">
      <c r="A14" s="75" t="inlineStr">
        <is>
          <t>ACT-DEMO-011</t>
        </is>
      </c>
      <c r="B14" s="75" t="inlineStr">
        <is>
          <t>Partner offer</t>
        </is>
      </c>
      <c r="C14" s="75" t="inlineStr">
        <is>
          <t>DEMO-OFFER-ARC-01</t>
        </is>
      </c>
      <c r="D14" s="75" t="inlineStr">
        <is>
          <t>Building-materials scheme information</t>
        </is>
      </c>
      <c r="E14" s="75" t="inlineStr">
        <is>
          <t>PAR-DEMO-004</t>
        </is>
      </c>
      <c r="F14" s="75" t="inlineStr">
        <is>
          <t>Members browsing benefits</t>
        </is>
      </c>
      <c r="G14" s="75" t="inlineStr">
        <is>
          <t>Published with terms note — demo only</t>
        </is>
      </c>
      <c r="H14" s="75" t="inlineStr">
        <is>
          <t>2026-10-18</t>
        </is>
      </c>
      <c r="I14" s="75" t="inlineStr">
        <is>
          <t>Uses reference terms for the scheme summary; individual application remains subject to eligibility and affordability review.</t>
        </is>
      </c>
    </row>
    <row r="15" ht="46" customHeight="1" s="53">
      <c r="A15" s="75" t="inlineStr">
        <is>
          <t>ACT-DEMO-012</t>
        </is>
      </c>
      <c r="B15" s="75" t="inlineStr">
        <is>
          <t>Partner offer</t>
        </is>
      </c>
      <c r="C15" s="75" t="inlineStr">
        <is>
          <t>DEMO-OFFER-OR-01</t>
        </is>
      </c>
      <c r="D15" s="75" t="inlineStr">
        <is>
          <t>Orange member mobile plan</t>
        </is>
      </c>
      <c r="E15" s="75" t="inlineStr">
        <is>
          <t>PAR-DEMO-001</t>
        </is>
      </c>
      <c r="F15" s="75" t="inlineStr">
        <is>
          <t>Members browsing telecom benefits</t>
        </is>
      </c>
      <c r="G15" s="75" t="inlineStr">
        <is>
          <t>Draft — terms need confirmation</t>
        </is>
      </c>
      <c r="H15" s="75" t="inlineStr">
        <is>
          <t>2026-10-24</t>
        </is>
      </c>
      <c r="I15" s="75" t="inlineStr">
        <is>
          <t>Deliberately no price shown until current partner pricing and contract terms are confirmed.</t>
        </is>
      </c>
    </row>
    <row r="16" ht="46" customHeight="1" s="53">
      <c r="A16" s="75" t="inlineStr">
        <is>
          <t>ACT-DEMO-013</t>
        </is>
      </c>
      <c r="B16" s="75" t="inlineStr">
        <is>
          <t>Bursary workflow</t>
        </is>
      </c>
      <c r="C16" s="75" t="inlineStr">
        <is>
          <t>DEMO-BUR-2026-018</t>
        </is>
      </c>
      <c r="D16" s="75" t="inlineStr">
        <is>
          <t>Request missing school verification</t>
        </is>
      </c>
      <c r="E16" s="75" t="inlineStr">
        <is>
          <t>STF-DEMO-004</t>
        </is>
      </c>
      <c r="F16" s="75" t="inlineStr">
        <is>
          <t>Mercy Peters + welfare processor</t>
        </is>
      </c>
      <c r="G16" s="75" t="inlineStr">
        <is>
          <t>Member action required</t>
        </is>
      </c>
      <c r="H16" s="75" t="inlineStr">
        <is>
          <t>2026-10-24</t>
        </is>
      </c>
      <c r="I16" s="75" t="inlineStr">
        <is>
          <t>An example of a member-facing next-action state and document checklist.</t>
        </is>
      </c>
    </row>
    <row r="17" ht="46" customHeight="1" s="53">
      <c r="A17" s="75" t="inlineStr">
        <is>
          <t>ACT-DEMO-014</t>
        </is>
      </c>
      <c r="B17" s="75" t="inlineStr">
        <is>
          <t>Payroll batch</t>
        </is>
      </c>
      <c r="C17" s="75" t="inlineStr">
        <is>
          <t>DEMO-BATCH-2026-10-A</t>
        </is>
      </c>
      <c r="D17" s="75" t="inlineStr">
        <is>
          <t>October deduction reconciliation</t>
        </is>
      </c>
      <c r="E17" s="75" t="inlineStr">
        <is>
          <t>STF-DEMO-003</t>
        </is>
      </c>
      <c r="F17" s="75" t="inlineStr">
        <is>
          <t>Finance &amp; payroll reconciliation only</t>
        </is>
      </c>
      <c r="G17" s="75" t="inlineStr">
        <is>
          <t>286 rows processed; 7 mismatches in synthetic batch</t>
        </is>
      </c>
      <c r="H17" s="75" t="inlineStr">
        <is>
          <t>2026-10-25</t>
        </is>
      </c>
      <c r="I17" s="75" t="inlineStr">
        <is>
          <t>Illustrative batch totals only; contains no real payroll import and is not a BOPEU payroll statement.</t>
        </is>
      </c>
    </row>
    <row r="18" ht="46" customHeight="1" s="53">
      <c r="A18" s="75" t="inlineStr">
        <is>
          <t>ACT-DEMO-015</t>
        </is>
      </c>
      <c r="B18" s="75" t="inlineStr">
        <is>
          <t>Branch meeting</t>
        </is>
      </c>
      <c r="C18" s="75" t="inlineStr">
        <is>
          <t>DEMO-MTG-015</t>
        </is>
      </c>
      <c r="D18" s="75" t="inlineStr">
        <is>
          <t>North-East member check-off Q&amp;A</t>
        </is>
      </c>
      <c r="E18" s="75" t="inlineStr">
        <is>
          <t>STF-DEMO-005</t>
        </is>
      </c>
      <c r="F18" s="75" t="inlineStr">
        <is>
          <t>Assigned North-East branch members</t>
        </is>
      </c>
      <c r="G18" s="75" t="inlineStr">
        <is>
          <t>Upcoming — demo only</t>
        </is>
      </c>
      <c r="H18" s="75" t="inlineStr">
        <is>
          <t>2026-11-04</t>
        </is>
      </c>
      <c r="I18" s="75" t="inlineStr">
        <is>
          <t>Example of regional meetings, attendance, minutes and a route for unresolved issues to national legal services.</t>
        </is>
      </c>
    </row>
    <row r="19" ht="46" customHeight="1" s="53">
      <c r="A19" s="75" t="inlineStr">
        <is>
          <t>ACT-DEMO-016</t>
        </is>
      </c>
      <c r="B19" s="75" t="inlineStr">
        <is>
          <t>SACCOS enquiry</t>
        </is>
      </c>
      <c r="C19" s="75" t="inlineStr">
        <is>
          <t>DEMO-LOAN-SK-01</t>
        </is>
      </c>
      <c r="D19" s="75" t="inlineStr">
        <is>
          <t>Micro-loan eligibility check</t>
        </is>
      </c>
      <c r="E19" s="75" t="inlineStr">
        <is>
          <t>STF-DEMO-004</t>
        </is>
      </c>
      <c r="F19" s="75" t="inlineStr">
        <is>
          <t>Siyanda Kefitlile + assigned welfare/finance workflow</t>
        </is>
      </c>
      <c r="G19" s="75" t="inlineStr">
        <is>
          <t>Eligibility and affordability checks pending</t>
        </is>
      </c>
      <c r="H19" s="75" t="inlineStr">
        <is>
          <t>2026-10-18</t>
        </is>
      </c>
      <c r="I19" s="75" t="inlineStr">
        <is>
          <t>Requested P4,500 is synthetic; status is not an approval and must not display approved funds.</t>
        </is>
      </c>
    </row>
    <row r="20" ht="46" customHeight="1" s="53">
      <c r="A20" s="75" t="inlineStr">
        <is>
          <t>ACT-DEMO-017</t>
        </is>
      </c>
      <c r="B20" s="75" t="inlineStr">
        <is>
          <t>Payroll query</t>
        </is>
      </c>
      <c r="C20" s="75" t="inlineStr">
        <is>
          <t>DEMO-GRV-2026-031</t>
        </is>
      </c>
      <c r="D20" s="75" t="inlineStr">
        <is>
          <t>Capped union subscription explanation</t>
        </is>
      </c>
      <c r="E20" s="75" t="inlineStr">
        <is>
          <t>STF-DEMO-003</t>
        </is>
      </c>
      <c r="F20" s="75" t="inlineStr">
        <is>
          <t>Jackson Michaels + finance staff</t>
        </is>
      </c>
      <c r="G20" s="75" t="inlineStr">
        <is>
          <t>Resolved — explanation sent</t>
        </is>
      </c>
      <c r="H20" s="75" t="inlineStr">
        <is>
          <t>2026-10-08</t>
        </is>
      </c>
      <c r="I20" s="75" t="inlineStr">
        <is>
          <t>Shows how a fee query can be resolved with a dated explanation and an audit trail.</t>
        </is>
      </c>
    </row>
    <row r="21" ht="46" customHeight="1" s="53">
      <c r="A21" s="79" t="inlineStr">
        <is>
          <t>ACT-DEMO-018</t>
        </is>
      </c>
      <c r="B21" s="79" t="inlineStr">
        <is>
          <t>Hotel-rate enquiry</t>
        </is>
      </c>
      <c r="C21" s="79" t="inlineStr">
        <is>
          <t>DEMO-HOTEL-004</t>
        </is>
      </c>
      <c r="D21" s="79" t="inlineStr">
        <is>
          <t>Cresta member-rate confirmation</t>
        </is>
      </c>
      <c r="E21" s="79" t="inlineStr">
        <is>
          <t>PAR-DEMO-006</t>
        </is>
      </c>
      <c r="F21" s="79" t="inlineStr">
        <is>
          <t>Partner reservations desk + consenting member</t>
        </is>
      </c>
      <c r="G21" s="79" t="inlineStr">
        <is>
          <t>Awaiting partner confirmation</t>
        </is>
      </c>
      <c r="H21" s="79" t="inlineStr">
        <is>
          <t>2026-10-24</t>
        </is>
      </c>
      <c r="I21" s="79" t="inlineStr">
        <is>
          <t>No fixed hotel discount is displayed because the reference did not establish a Cresta-specific current rate.</t>
        </is>
      </c>
    </row>
  </sheetData>
  <mergeCells count="2">
    <mergeCell ref="A1:I1"/>
    <mergeCell ref="A2:I2"/>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Z20"/>
  <sheetViews>
    <sheetView workbookViewId="0">
      <pane ySplit="3" topLeftCell="A4" activePane="bottomLeft" state="frozen"/>
      <selection activeCell="A1" sqref="A1"/>
    </sheetView>
  </sheetViews>
  <sheetFormatPr baseColWidth="8" defaultRowHeight="15"/>
  <cols>
    <col width="32" customWidth="1" style="53" min="1" max="1"/>
    <col width="52" customWidth="1" style="53" min="2" max="2"/>
    <col width="62" customWidth="1" style="53" min="3" max="3"/>
    <col width="72" customWidth="1" style="53" min="4" max="4"/>
  </cols>
  <sheetData>
    <row r="1" ht="30" customHeight="1" s="53">
      <c r="A1" s="83" t="inlineStr">
        <is>
          <t>FIELD GUIDE — DATA MODEL, MOCK VALUES &amp; PRIVACY GUARDRAILS</t>
        </is>
      </c>
      <c r="B1" s="55" t="n"/>
      <c r="C1" s="55" t="n"/>
      <c r="D1" s="55" t="n"/>
    </row>
    <row r="2" ht="34" customHeight="1" s="53">
      <c r="A2" s="54" t="inlineStr">
        <is>
          <t>Use this tab to explain to the client why sensitive fields are split by workflow and why some benefit values stay pending confirmation.</t>
        </is>
      </c>
      <c r="B2" s="55" t="n"/>
      <c r="C2" s="55" t="n"/>
      <c r="D2" s="55" t="n"/>
    </row>
    <row r="3" ht="42" customHeight="1" s="53">
      <c r="A3" s="60" t="inlineStr">
        <is>
          <t>Field / Topic</t>
        </is>
      </c>
      <c r="B3" s="60" t="inlineStr">
        <is>
          <t>Purpose</t>
        </is>
      </c>
      <c r="C3" s="60" t="inlineStr">
        <is>
          <t>Demo display rule</t>
        </is>
      </c>
      <c r="D3" s="60" t="inlineStr">
        <is>
          <t>Production / governance note</t>
        </is>
      </c>
      <c r="E3" s="90" t="n"/>
      <c r="F3" s="90" t="n"/>
      <c r="G3" s="90" t="n"/>
      <c r="H3" s="90" t="n"/>
      <c r="I3" s="90" t="n"/>
      <c r="J3" s="90" t="n"/>
      <c r="K3" s="90" t="n"/>
      <c r="L3" s="90" t="n"/>
      <c r="M3" s="90" t="n"/>
      <c r="N3" s="90" t="n"/>
      <c r="O3" s="90" t="n"/>
      <c r="P3" s="90" t="n"/>
      <c r="Q3" s="90" t="n"/>
      <c r="R3" s="90" t="n"/>
      <c r="S3" s="90" t="n"/>
      <c r="T3" s="90" t="n"/>
      <c r="U3" s="90" t="n"/>
      <c r="V3" s="90" t="n"/>
      <c r="W3" s="90" t="n"/>
      <c r="X3" s="90" t="n"/>
      <c r="Y3" s="90" t="n"/>
      <c r="Z3" s="90" t="n"/>
      <c r="AA3" s="90" t="n"/>
      <c r="AB3" s="90" t="n"/>
      <c r="AC3" s="90" t="n"/>
      <c r="AD3" s="90" t="n"/>
      <c r="AE3" s="90" t="n"/>
      <c r="AF3" s="90" t="n"/>
      <c r="AG3" s="90" t="n"/>
      <c r="AH3" s="90" t="n"/>
      <c r="AI3" s="90" t="n"/>
      <c r="AJ3" s="90" t="n"/>
      <c r="AK3" s="90" t="n"/>
      <c r="AL3" s="90" t="n"/>
      <c r="AM3" s="90" t="n"/>
      <c r="AN3" s="90" t="n"/>
      <c r="AO3" s="90" t="n"/>
      <c r="AP3" s="90" t="n"/>
      <c r="AQ3" s="90" t="n"/>
      <c r="AR3" s="90" t="n"/>
      <c r="AS3" s="90" t="n"/>
      <c r="AT3" s="90" t="n"/>
      <c r="AU3" s="90" t="n"/>
      <c r="AV3" s="90" t="n"/>
      <c r="AW3" s="90" t="n"/>
      <c r="AX3" s="90" t="n"/>
      <c r="AY3" s="90" t="n"/>
      <c r="AZ3" s="90" t="n"/>
    </row>
    <row r="4" ht="46" customHeight="1" s="53">
      <c r="A4" s="75" t="inlineStr">
        <is>
          <t>Omang / National ID</t>
        </is>
      </c>
      <c r="B4" s="75" t="inlineStr">
        <is>
          <t>Primary identity reference for membership verification.</t>
        </is>
      </c>
      <c r="C4" s="75" t="inlineStr">
        <is>
          <t>Use DEMO-OMANG-### only; never use a valid-looking numeric identifier.</t>
        </is>
      </c>
      <c r="D4" s="75" t="inlineStr">
        <is>
          <t>Encrypt at rest/in transit; show masked value; only privileged verification workflow can access raw value.</t>
        </is>
      </c>
    </row>
    <row r="5" ht="46" customHeight="1" s="53">
      <c r="A5" s="75" t="inlineStr">
        <is>
          <t>Digital membership token</t>
        </is>
      </c>
      <c r="B5" s="75" t="inlineStr">
        <is>
          <t>Member presents membership card to a partner.</t>
        </is>
      </c>
      <c r="C5" s="75" t="inlineStr">
        <is>
          <t>Token begins DEMO-CARD and is display-only.</t>
        </is>
      </c>
      <c r="D5" s="75" t="inlineStr">
        <is>
          <t>Do not treat a visual token as a secret or sole authentication check; use server-side expiring/signature verification in production.</t>
        </is>
      </c>
    </row>
    <row r="6" ht="46" customHeight="1" s="53">
      <c r="A6" s="75" t="inlineStr">
        <is>
          <t>Mobile / WhatsApp</t>
        </is>
      </c>
      <c r="B6" s="75" t="inlineStr">
        <is>
          <t>Contact preference and routing choice.</t>
        </is>
      </c>
      <c r="C6" s="75" t="inlineStr">
        <is>
          <t>All numbers contain Xs and say NOT ROUTABLE.</t>
        </is>
      </c>
      <c r="D6" s="75" t="inlineStr">
        <is>
          <t>No WhatsApp API integration is assumed; actual messages should be user-initiated unless separately authorised and designed.</t>
        </is>
      </c>
    </row>
    <row r="7" ht="46" customHeight="1" s="53">
      <c r="A7" s="75" t="inlineStr">
        <is>
          <t>Wallet / bank references</t>
        </is>
      </c>
      <c r="B7" s="75" t="inlineStr">
        <is>
          <t>Optional payment routing and member-selected payout details.</t>
        </is>
      </c>
      <c r="C7" s="75" t="inlineStr">
        <is>
          <t>Use DEMO-WALLET and DEMO-BANK-ACCOUNT placeholders.</t>
        </is>
      </c>
      <c r="D7" s="75" t="inlineStr">
        <is>
          <t>Collect only when required; restrict to authorised finance/claims workflow; verify ownership and consent.</t>
        </is>
      </c>
    </row>
    <row r="8" ht="46" customHeight="1" s="53">
      <c r="A8" s="75" t="inlineStr">
        <is>
          <t>Salary and grade</t>
        </is>
      </c>
      <c r="B8" s="75" t="inlineStr">
        <is>
          <t>Support a 1% subscription estimate and payroll reconciliation.</t>
        </is>
      </c>
      <c r="C8" s="75" t="inlineStr">
        <is>
          <t>All amounts and grade labels are illustrative, not authentic salary scales.</t>
        </is>
      </c>
      <c r="D8" s="75" t="inlineStr">
        <is>
          <t>Confirm exact payroll feed, grade codes, cap and floor with BOPEU and payroll authority before using any calculator.</t>
        </is>
      </c>
    </row>
    <row r="9" ht="46" customHeight="1" s="53">
      <c r="A9" s="75" t="inlineStr">
        <is>
          <t>Subscription formula</t>
        </is>
      </c>
      <c r="B9" s="75" t="inlineStr">
        <is>
          <t>Demo output is 1% of synthetic basic salary, bounded P39.90–P100.</t>
        </is>
      </c>
      <c r="C9" s="75" t="inlineStr">
        <is>
          <t>Formula cells are live spreadsheet formulas.</t>
        </is>
      </c>
      <c r="D9" s="75" t="inlineStr">
        <is>
          <t>Treat P39.90/P100 as brief-specified design inputs; reconcile policy/legal wording and payroll processing rules.</t>
        </is>
      </c>
    </row>
    <row r="10" ht="46" customHeight="1" s="53">
      <c r="A10" s="75" t="inlineStr">
        <is>
          <t>Group Life / funeral line</t>
        </is>
      </c>
      <c r="B10" s="75" t="inlineStr">
        <is>
          <t>Show separate deduction types in reconciliation workflows.</t>
        </is>
      </c>
      <c r="C10" s="75" t="inlineStr">
        <is>
          <t>P70 and P20/P39.50 are illustrative configured lines from the brief.</t>
        </is>
      </c>
      <c r="D10" s="75" t="inlineStr">
        <is>
          <t>Confirm eligibility, effective dates and exact code/label; don't imply every member has identical deductions.</t>
        </is>
      </c>
    </row>
    <row r="11" ht="46" customHeight="1" s="53">
      <c r="A11" s="75" t="inlineStr">
        <is>
          <t>Medical-aid / Diagnofirm</t>
        </is>
      </c>
      <c r="B11" s="75" t="inlineStr">
        <is>
          <t>Partner eligibility or waiver check.</t>
        </is>
      </c>
      <c r="C11" s="75" t="inlineStr">
        <is>
          <t>Show only pass/fail/demo eligibility and masked scheme reference.</t>
        </is>
      </c>
      <c r="D11" s="75" t="inlineStr">
        <is>
          <t>No medical history or lab results are part of partner eligibility ping; share only necessary data.</t>
        </is>
      </c>
    </row>
    <row r="12" ht="46" customHeight="1" s="53">
      <c r="A12" s="75" t="inlineStr">
        <is>
          <t>Funeral dependants</t>
        </is>
      </c>
      <c r="B12" s="75" t="inlineStr">
        <is>
          <t>Show claim tracking and covered-family workflow.</t>
        </is>
      </c>
      <c r="C12" s="75" t="inlineStr">
        <is>
          <t>All names and Omang refs are synthetic and clearly marked.</t>
        </is>
      </c>
      <c r="D12" s="75" t="inlineStr">
        <is>
          <t>Restrict access to assigned claims; define retention, purpose and consent; avoid broad marketing access.</t>
        </is>
      </c>
    </row>
    <row r="13" ht="46" customHeight="1" s="53">
      <c r="A13" s="75" t="inlineStr">
        <is>
          <t>Extended-family tiers</t>
        </is>
      </c>
      <c r="B13" s="75" t="inlineStr">
        <is>
          <t>Represent optional cover up to age limit where applicable.</t>
        </is>
      </c>
      <c r="C13" s="75" t="inlineStr">
        <is>
          <t>Tier names/premiums in profiles are illustrative only.</t>
        </is>
      </c>
      <c r="D13" s="75" t="inlineStr">
        <is>
          <t>Obtain actual policy tiers, underwriting and premium tables from Babereki/insurer before calculation.</t>
        </is>
      </c>
    </row>
    <row r="14" ht="46" customHeight="1" s="53">
      <c r="A14" s="75" t="inlineStr">
        <is>
          <t>SACCOS and loans</t>
        </is>
      </c>
      <c r="B14" s="75" t="inlineStr">
        <is>
          <t>Show balances, repayment states and application progress.</t>
        </is>
      </c>
      <c r="C14" s="75" t="inlineStr">
        <is>
          <t>Balances and repayments are fictional.</t>
        </is>
      </c>
      <c r="D14" s="75" t="inlineStr">
        <is>
          <t>Loan approval must remain separate from enquiry/prequalification; restrict financial data to authorised staff.</t>
        </is>
      </c>
    </row>
    <row r="15" ht="46" customHeight="1" s="53">
      <c r="A15" s="75" t="inlineStr">
        <is>
          <t>Benefit partner directory</t>
        </is>
      </c>
      <c r="B15" s="75" t="inlineStr">
        <is>
          <t>Consistent member-facing cards.</t>
        </is>
      </c>
      <c r="C15" s="75" t="inlineStr">
        <is>
          <t>Use reference status and last-verified field; blank price if unconfirmed.</t>
        </is>
      </c>
      <c r="D15" s="75" t="inlineStr">
        <is>
          <t>Version offers, effective date/expiry, named owner, proof, and dual approval for material rate changes.</t>
        </is>
      </c>
    </row>
    <row r="16" ht="46" customHeight="1" s="53">
      <c r="A16" s="75" t="inlineStr">
        <is>
          <t>Grievances / disputes</t>
        </is>
      </c>
      <c r="B16" s="75" t="inlineStr">
        <is>
          <t>Track workplace issues and referral steps.</t>
        </is>
      </c>
      <c r="C16" s="75" t="inlineStr">
        <is>
          <t>Use DEMO-GRV refs and invented summaries.</t>
        </is>
      </c>
      <c r="D16" s="75" t="inlineStr">
        <is>
          <t>Legal records should be assigned-case-only with strong logging; keep them separate from marketing and partners.</t>
        </is>
      </c>
    </row>
    <row r="17" ht="46" customHeight="1" s="53">
      <c r="A17" s="75" t="inlineStr">
        <is>
          <t>Staff RBAC</t>
        </is>
      </c>
      <c r="B17" s="75" t="inlineStr">
        <is>
          <t>Least-privilege internal access.</t>
        </is>
      </c>
      <c r="C17" s="75" t="inlineStr">
        <is>
          <t>Profile descriptions state what each role can/cannot see.</t>
        </is>
      </c>
      <c r="D17" s="75" t="inlineStr">
        <is>
          <t>Admin is not routine blanket permission; log privileged override and staff offboarding.</t>
        </is>
      </c>
    </row>
    <row r="18" ht="46" customHeight="1" s="53">
      <c r="A18" s="75" t="inlineStr">
        <is>
          <t>Partner portal</t>
        </is>
      </c>
      <c r="B18" s="75" t="inlineStr">
        <is>
          <t>Narrow access for assigned offer/application workflows.</t>
        </is>
      </c>
      <c r="C18" s="75" t="inlineStr">
        <is>
          <t>No real API key, secret, SIM serial or full member search included.</t>
        </is>
      </c>
      <c r="D18" s="75" t="inlineStr">
        <is>
          <t>Use a secure gateway, scoped tokens, consent, rate limits and per-partner audit logs.</t>
        </is>
      </c>
    </row>
    <row r="19" ht="46" customHeight="1" s="53">
      <c r="A19" s="75" t="inlineStr">
        <is>
          <t>Consent / notification preferences</t>
        </is>
      </c>
      <c r="B19" s="75" t="inlineStr">
        <is>
          <t>Separate union notices, bargaining alerts, partner promotions and application updates.</t>
        </is>
      </c>
      <c r="C19" s="75" t="inlineStr">
        <is>
          <t>Prefs differ by member and are synthetic.</t>
        </is>
      </c>
      <c r="D19" s="75" t="inlineStr">
        <is>
          <t>Record granular opt-ins and channel preferences; do not presume partner-promotions consent.</t>
        </is>
      </c>
    </row>
    <row r="20" ht="46" customHeight="1" s="53">
      <c r="A20" s="79" t="inlineStr">
        <is>
          <t>Privacy / legal review</t>
        </is>
      </c>
      <c r="B20" s="79" t="inlineStr">
        <is>
          <t>Sensitive personal data and union membership controls.</t>
        </is>
      </c>
      <c r="C20" s="79" t="inlineStr">
        <is>
          <t>Pack is for isolated demo only.</t>
        </is>
      </c>
      <c r="D20" s="79" t="inlineStr">
        <is>
          <t>Confirm current Botswana Data Protection Act requirements with BOPEU and qualified local counsel before real records are used.</t>
        </is>
      </c>
    </row>
  </sheetData>
  <mergeCells count="2">
    <mergeCell ref="A1:D1"/>
    <mergeCell ref="A2:D2"/>
  </mergeCell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activeCell="A1" sqref="A1"/>
    </sheetView>
  </sheetViews>
  <sheetFormatPr baseColWidth="8" defaultRowHeight="15"/>
  <cols>
    <col width="34" customWidth="1" style="53" min="1" max="1"/>
    <col width="62" customWidth="1" style="53" min="2" max="2"/>
    <col width="62" customWidth="1" style="53" min="3" max="3"/>
    <col width="54" customWidth="1" style="53" min="4" max="4"/>
    <col width="70" customWidth="1" style="53" min="5" max="5"/>
    <col width="68" customWidth="1" style="53" min="6" max="6"/>
  </cols>
  <sheetData>
    <row r="1" ht="30" customHeight="1" s="53">
      <c r="A1" s="83" t="inlineStr">
        <is>
          <t>ROLE-BASED ACCESS MATRIX — DEMO POLICY</t>
        </is>
      </c>
      <c r="B1" s="55" t="n"/>
      <c r="C1" s="55" t="n"/>
      <c r="D1" s="55" t="n"/>
      <c r="E1" s="55" t="n"/>
      <c r="F1" s="55" t="n"/>
    </row>
    <row r="2" ht="34" customHeight="1" s="53">
      <c r="A2" s="54" t="inlineStr">
        <is>
          <t>Suggested least-privilege model for one staff portal and separate partner access. Treat this as a draft for BOPEU governance and ICT review.</t>
        </is>
      </c>
      <c r="B2" s="55" t="n"/>
      <c r="C2" s="55" t="n"/>
      <c r="D2" s="55" t="n"/>
      <c r="E2" s="55" t="n"/>
      <c r="F2" s="55" t="n"/>
    </row>
    <row r="3" ht="42" customHeight="1" s="53">
      <c r="A3" s="60" t="inlineStr">
        <is>
          <t>Role / Group</t>
        </is>
      </c>
      <c r="B3" s="60" t="inlineStr">
        <is>
          <t>View Scope</t>
        </is>
      </c>
      <c r="C3" s="60" t="inlineStr">
        <is>
          <t>Create / Edit</t>
        </is>
      </c>
      <c r="D3" s="60" t="inlineStr">
        <is>
          <t>Approve / Publish</t>
        </is>
      </c>
      <c r="E3" s="60" t="inlineStr">
        <is>
          <t>Explicitly Denied by Default</t>
        </is>
      </c>
      <c r="F3" s="60" t="inlineStr">
        <is>
          <t>Audit / Approval Controls</t>
        </is>
      </c>
    </row>
    <row r="4" ht="46" customHeight="1" s="53">
      <c r="A4" s="75" t="inlineStr">
        <is>
          <t>ROLE_MEMBER</t>
        </is>
      </c>
      <c r="B4" s="75" t="inlineStr">
        <is>
          <t>Own profile, own benefits, own applications/cases, public notices and published documents.</t>
        </is>
      </c>
      <c r="C4" s="75" t="inlineStr">
        <is>
          <t>Update permitted contact/preferences; submit forms, documents, questions and content for moderation.</t>
        </is>
      </c>
      <c r="D4" s="75" t="inlineStr">
        <is>
          <t>No approval of union-wide content or staff workflow.</t>
        </is>
      </c>
      <c r="E4" s="75" t="inlineStr">
        <is>
          <t>Other members' profiles, salaries, bank/wallet refs, dependants, grievance files.</t>
        </is>
      </c>
      <c r="F4" s="75" t="inlineStr">
        <is>
          <t>Consent receipt; own-profile change history; per-application reference.</t>
        </is>
      </c>
    </row>
    <row r="5" ht="46" customHeight="1" s="53">
      <c r="A5" s="75" t="inlineStr">
        <is>
          <t>ROLE_SHOP_STEWARD</t>
        </is>
      </c>
      <c r="B5" s="75" t="inlineStr">
        <is>
          <t>Assigned workplace/region triage; only member info necessary for assigned local issue.</t>
        </is>
      </c>
      <c r="C5" s="75" t="inlineStr">
        <is>
          <t>Open local triage, request missing facts, schedule local meeting, attach minutes.</t>
        </is>
      </c>
      <c r="D5" s="75" t="inlineStr">
        <is>
          <t>May mark local triage as resolved locally; national referral needs workflow rule.</t>
        </is>
      </c>
      <c r="E5" s="75" t="inlineStr">
        <is>
          <t>National case files, unrelated member payroll/finance, other regions, dependant/medical-aid details.</t>
        </is>
      </c>
      <c r="F5" s="75" t="inlineStr">
        <is>
          <t>Every case view/update logged; escalate with reason and timestamp.</t>
        </is>
      </c>
    </row>
    <row r="6" ht="46" customHeight="1" s="53">
      <c r="A6" s="75" t="inlineStr">
        <is>
          <t>ROLE_MARKETING</t>
        </is>
      </c>
      <c r="B6" s="75" t="inlineStr">
        <is>
          <t>Published member content and non-sensitive content/partner directory metadata.</t>
        </is>
      </c>
      <c r="C6" s="75" t="inlineStr">
        <is>
          <t>Draft timeline posts, noticeboard items, partner cards, document-vault metadata and member-facing copy.</t>
        </is>
      </c>
      <c r="D6" s="75" t="inlineStr">
        <is>
          <t>Publish/schedule only after second-person or delegated approval.</t>
        </is>
      </c>
      <c r="E6" s="75" t="inlineStr">
        <is>
          <t>Omang, basic salary, payroll batches, medical-aid references, dependants, claims, loans, grievance files.</t>
        </is>
      </c>
      <c r="F6" s="75" t="inlineStr">
        <is>
          <t>Content version history; effective dates; maker-checker approval for benefit rates.</t>
        </is>
      </c>
    </row>
    <row r="7" ht="46" customHeight="1" s="53">
      <c r="A7" s="75" t="inlineStr">
        <is>
          <t>ROLE_SALES_RECRUITMENT</t>
        </is>
      </c>
      <c r="B7" s="75" t="inlineStr">
        <is>
          <t>Own prospects/leads and assigned member-submission moderation metadata.</t>
        </is>
      </c>
      <c r="C7" s="75" t="inlineStr">
        <is>
          <t>Capture leads, follow-up dates, onboard new prospects, moderate submissions.</t>
        </is>
      </c>
      <c r="D7" s="75" t="inlineStr">
        <is>
          <t>Can route/approve moderation within policy; cannot activate membership without payroll verification.</t>
        </is>
      </c>
      <c r="E7" s="75" t="inlineStr">
        <is>
          <t>Full member register, payroll files, bank accounts, dependants, claims and legal case attachments.</t>
        </is>
      </c>
      <c r="F7" s="75" t="inlineStr">
        <is>
          <t>Lead history; consent status; moderation reason; payroll verification gate.</t>
        </is>
      </c>
    </row>
    <row r="8" ht="46" customHeight="1" s="53">
      <c r="A8" s="75" t="inlineStr">
        <is>
          <t>ROLE_FINANCE_AUDITOR</t>
        </is>
      </c>
      <c r="B8" s="75" t="inlineStr">
        <is>
          <t>Assigned payroll batches, check-off rows, capped subscription lines, arrears and refunds.</t>
        </is>
      </c>
      <c r="C8" s="75" t="inlineStr">
        <is>
          <t>Upload/reconcile demo or authorised payroll files; annotate mismatches; draft refund action.</t>
        </is>
      </c>
      <c r="D8" s="75" t="inlineStr">
        <is>
          <t>Independent approver required for payment/refund or material rule change.</t>
        </is>
      </c>
      <c r="E8" s="75" t="inlineStr">
        <is>
          <t>Clinical records, full funeral dependant details, marketing drafts, unrelated legal files.</t>
        </is>
      </c>
      <c r="F8" s="75" t="inlineStr">
        <is>
          <t>Batch checksum, row counts, dual approval, export log.</t>
        </is>
      </c>
    </row>
    <row r="9" ht="46" customHeight="1" s="53">
      <c r="A9" s="75" t="inlineStr">
        <is>
          <t>ROLE_WELFARE_CLAIMS</t>
        </is>
      </c>
      <c r="B9" s="75" t="inlineStr">
        <is>
          <t>Assigned funeral claims, bursary and welfare assistance dossiers only.</t>
        </is>
      </c>
      <c r="C9" s="75" t="inlineStr">
        <is>
          <t>Checklist updates, document requests, claim status notes and partner handoff.</t>
        </is>
      </c>
      <c r="D9" s="75" t="inlineStr">
        <is>
          <t>Final payment/claim settlement requires approved delegation and insurer/Babereki workflow.</t>
        </is>
      </c>
      <c r="E9" s="75" t="inlineStr">
        <is>
          <t>Unassigned claims, general payroll browsing, marketing and unrelated legal files.</t>
        </is>
      </c>
      <c r="F9" s="75" t="inlineStr">
        <is>
          <t>Document access log, consent, assignment, maker-checker payout step.</t>
        </is>
      </c>
    </row>
    <row r="10" ht="46" customHeight="1" s="53">
      <c r="A10" s="75" t="inlineStr">
        <is>
          <t>ROLE_OPERATIONS_LEGAL</t>
        </is>
      </c>
      <c r="B10" s="75" t="inlineStr">
        <is>
          <t>Assigned grievance/dispute files, legal deadlines, mediation/arbitration state and bargaining alerts.</t>
        </is>
      </c>
      <c r="C10" s="75" t="inlineStr">
        <is>
          <t>Case notes, referrals, secure attachments, status updates and alert drafts.</t>
        </is>
      </c>
      <c r="D10" s="75" t="inlineStr">
        <is>
          <t>Legal alert / external action requires designated approval where policy says so.</t>
        </is>
      </c>
      <c r="E10" s="75" t="inlineStr">
        <is>
          <t>General member financial data, full payroll dumps, unassigned case files and partner marketing records.</t>
        </is>
      </c>
      <c r="F10" s="75" t="inlineStr">
        <is>
          <t>Matter assignment, immutable event trail, access reason for exceptional sensitive data.</t>
        </is>
      </c>
    </row>
    <row r="11" ht="46" customHeight="1" s="53">
      <c r="A11" s="75" t="inlineStr">
        <is>
          <t>ROLE_REGIONAL_COORDINATOR</t>
        </is>
      </c>
      <c r="B11" s="75" t="inlineStr">
        <is>
          <t>Members/cases/meetings inside assigned regional or district scope.</t>
        </is>
      </c>
      <c r="C11" s="75" t="inlineStr">
        <is>
          <t>Local notices, attendance/minutes, first-line triage and escalation packages.</t>
        </is>
      </c>
      <c r="D11" s="75" t="inlineStr">
        <is>
          <t>Local notice publication after content approval; national legal team controls legal escalation decisions.</t>
        </is>
      </c>
      <c r="E11" s="75" t="inlineStr">
        <is>
          <t>Other regions, complete national payroll, bank/wallet data, clinical and unrelated dependant records.</t>
        </is>
      </c>
      <c r="F11" s="75" t="inlineStr">
        <is>
          <t>Regional row-level access control; meeting attendance access logged.</t>
        </is>
      </c>
    </row>
    <row r="12" ht="46" customHeight="1" s="53">
      <c r="A12" s="75" t="inlineStr">
        <is>
          <t>ROLE_SUPER_ADMIN</t>
        </is>
      </c>
      <c r="B12" s="75" t="inlineStr">
        <is>
          <t>User/role/account settings, integration health, backups and audit records; exceptional data access only by break-glass.</t>
        </is>
      </c>
      <c r="C12" s="75" t="inlineStr">
        <is>
          <t>Manage accounts, permissions, settings, backups and security policies.</t>
        </is>
      </c>
      <c r="D12" s="75" t="inlineStr">
        <is>
          <t>Must not self-approve sensitive business changes where separation of duties is required.</t>
        </is>
      </c>
      <c r="E12" s="75" t="inlineStr">
        <is>
          <t>No routine blanket browsing of sensitive member records; no reading secrets stored in clear text.</t>
        </is>
      </c>
      <c r="F12" s="75" t="inlineStr">
        <is>
          <t>Reasoned time-limited break-glass, immutable audit trail and independent review.</t>
        </is>
      </c>
    </row>
    <row r="13" ht="46" customHeight="1" s="53">
      <c r="A13" s="79" t="inlineStr">
        <is>
          <t>ROLE_BENEFIT_PARTNER</t>
        </is>
      </c>
      <c r="B13" s="79" t="inlineStr">
        <is>
          <t>Own offers, assigned partner transactions and consented minimum fields for a member-initiated request.</t>
        </is>
      </c>
      <c r="C13" s="79" t="inlineStr">
        <is>
          <t>Draft own offer data; update own assigned application / redemption milestones.</t>
        </is>
      </c>
      <c r="D13" s="79" t="inlineStr">
        <is>
          <t>Cannot approve BOPEU membership, alter BOPEU benefit eligibility or publish unapproved discount rates.</t>
        </is>
      </c>
      <c r="E13" s="79" t="inlineStr">
        <is>
          <t>No member search, Omang database, salary, union votes, grievances, medical history, dependants or unrelated loans.</t>
        </is>
      </c>
      <c r="F13" s="79" t="inlineStr">
        <is>
          <t>Scoped partner identity; consent check; per-user/API log; token rotation and rate limits.</t>
        </is>
      </c>
    </row>
  </sheetData>
  <mergeCells count="2">
    <mergeCell ref="A2:F2"/>
    <mergeCell ref="A1:F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2026-10-26T19:47:36Z</dcterms:created>
  <dcterms:modified xmlns:dcterms="http://purl.org/dc/terms/" xmlns:xsi="http://www.w3.org/2001/XMLSchema-instance" xsi:type="dcterms:W3CDTF">2026-10-26T19:53:08Z</dcterms:modified>
</cp:coreProperties>
</file>